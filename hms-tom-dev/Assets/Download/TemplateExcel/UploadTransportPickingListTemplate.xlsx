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15360" windowHeight="7605" activeTab="6"/>
  </bookViews>
  <sheets>
    <sheet name="Senin" sheetId="12" r:id="rId1"/>
    <sheet name="Selasa" sheetId="15" r:id="rId2"/>
    <sheet name="Rabu" sheetId="14" r:id="rId3"/>
    <sheet name="Kamis" sheetId="5" r:id="rId4"/>
    <sheet name="Jumat" sheetId="8" r:id="rId5"/>
    <sheet name="Sabtu" sheetId="6" r:id="rId6"/>
    <sheet name="Minggu" sheetId="7" r:id="rId7"/>
  </sheets>
  <definedNames>
    <definedName name="_xlnm._FilterDatabase" localSheetId="4" hidden="1">Jumat!$A$3:$O$216</definedName>
    <definedName name="_xlnm._FilterDatabase" localSheetId="3" hidden="1">Kamis!$A$3:$N$176</definedName>
    <definedName name="_xlnm._FilterDatabase" localSheetId="6" hidden="1">Minggu!$A$3:$N$40</definedName>
    <definedName name="_xlnm._FilterDatabase" localSheetId="2" hidden="1">Rabu!$A$3:$N$188</definedName>
    <definedName name="_xlnm._FilterDatabase" localSheetId="5" hidden="1">Sabtu!$A$3:$N$150</definedName>
    <definedName name="_xlnm._FilterDatabase" localSheetId="1" hidden="1">Selasa!$A$3:$N$133</definedName>
    <definedName name="_xlnm._FilterDatabase" localSheetId="0" hidden="1">Senin!$A$3:$N$224</definedName>
    <definedName name="_xlnm.Print_Area" localSheetId="4">Jumat!$A$1:$N$179</definedName>
    <definedName name="_xlnm.Print_Area" localSheetId="3">Kamis!$A$1:$N$176</definedName>
    <definedName name="_xlnm.Print_Area" localSheetId="6">Minggu!$A$1:$N$41</definedName>
    <definedName name="_xlnm.Print_Area" localSheetId="2">Rabu!$A$1:$N$188</definedName>
    <definedName name="_xlnm.Print_Area" localSheetId="5">Sabtu!$A$1:$N$127</definedName>
    <definedName name="_xlnm.Print_Area" localSheetId="1">Selasa!$A$1:$N$133</definedName>
    <definedName name="_xlnm.Print_Area" localSheetId="0">Senin!$A$1:$N$224</definedName>
    <definedName name="_xlnm.Print_Titles" localSheetId="4">Jumat!$1:$3</definedName>
    <definedName name="_xlnm.Print_Titles" localSheetId="3">Kamis!$1:$3</definedName>
    <definedName name="_xlnm.Print_Titles" localSheetId="6">Minggu!$1:$3</definedName>
    <definedName name="_xlnm.Print_Titles" localSheetId="2">Rabu!$1:$3</definedName>
    <definedName name="_xlnm.Print_Titles" localSheetId="5">Sabtu!$1:$3</definedName>
    <definedName name="_xlnm.Print_Titles" localSheetId="1">Selasa!$1:$3</definedName>
    <definedName name="_xlnm.Print_Titles" localSheetId="0">Senin!$1:$3</definedName>
  </definedNames>
  <calcPr calcId="144525"/>
</workbook>
</file>

<file path=xl/calcChain.xml><?xml version="1.0" encoding="utf-8"?>
<calcChain xmlns="http://schemas.openxmlformats.org/spreadsheetml/2006/main">
  <c r="D186" i="14" l="1"/>
  <c r="D137" i="14"/>
  <c r="D22" i="15" l="1"/>
  <c r="D102" i="15" l="1"/>
  <c r="D20" i="12" l="1"/>
  <c r="D24" i="12"/>
  <c r="D19" i="12"/>
  <c r="D23" i="12"/>
  <c r="D189" i="12" l="1"/>
  <c r="D187" i="12"/>
  <c r="D141" i="12" l="1"/>
  <c r="D131" i="12"/>
  <c r="D130" i="12"/>
  <c r="D174" i="12" l="1"/>
  <c r="A1" i="12" l="1"/>
  <c r="A1" i="15" l="1"/>
  <c r="A1" i="14" s="1"/>
  <c r="A1" i="5" s="1"/>
  <c r="A1" i="8" s="1"/>
  <c r="A1" i="6" s="1"/>
  <c r="A1" i="7" s="1"/>
</calcChain>
</file>

<file path=xl/sharedStrings.xml><?xml version="1.0" encoding="utf-8"?>
<sst xmlns="http://schemas.openxmlformats.org/spreadsheetml/2006/main" count="10395" uniqueCount="200">
  <si>
    <t>Supplier</t>
  </si>
  <si>
    <t>Item</t>
  </si>
  <si>
    <t>Qty</t>
  </si>
  <si>
    <t>UoM</t>
  </si>
  <si>
    <t>Promise Date</t>
  </si>
  <si>
    <t>Ship To</t>
  </si>
  <si>
    <t>From</t>
  </si>
  <si>
    <t>Seq</t>
  </si>
  <si>
    <t>Keterangan</t>
  </si>
  <si>
    <t>STO Number</t>
  </si>
  <si>
    <t>VehicleType</t>
  </si>
  <si>
    <t>Brand</t>
  </si>
  <si>
    <t>HM Sampoerna PT</t>
  </si>
  <si>
    <t>FA045796.14</t>
  </si>
  <si>
    <t>ZD1L</t>
  </si>
  <si>
    <t>Depo Medan</t>
  </si>
  <si>
    <t>ZD4B</t>
  </si>
  <si>
    <t>DC Karawang Lot. 41</t>
  </si>
  <si>
    <t>DSM12RC156L8</t>
  </si>
  <si>
    <t>FA044121.19</t>
  </si>
  <si>
    <t>MLD16RC204L8</t>
  </si>
  <si>
    <t>FA035621.15</t>
  </si>
  <si>
    <t>ZD1K</t>
  </si>
  <si>
    <t>DPC Sibolga</t>
  </si>
  <si>
    <t>ZD4A</t>
  </si>
  <si>
    <t>DC Karawang Lot. 17</t>
  </si>
  <si>
    <t>DSB12RA170L8</t>
  </si>
  <si>
    <t>FA064382.01</t>
  </si>
  <si>
    <t>DSS12RA151L8</t>
  </si>
  <si>
    <t>FA010784.17</t>
  </si>
  <si>
    <t>DSS16RA202L8</t>
  </si>
  <si>
    <t>FA071115.00</t>
  </si>
  <si>
    <t>PNK12RC112L8</t>
  </si>
  <si>
    <t>Philip Morris Indonesia PT</t>
  </si>
  <si>
    <t>FA052576.13</t>
  </si>
  <si>
    <t>MBR20RC233L8</t>
  </si>
  <si>
    <t>FA068715.04</t>
  </si>
  <si>
    <t>MBL20RB233L8</t>
  </si>
  <si>
    <t>FA045795.13</t>
  </si>
  <si>
    <t>MLD12RB146L8</t>
  </si>
  <si>
    <t>FA061184.02</t>
  </si>
  <si>
    <t>MFB20RA224L8</t>
  </si>
  <si>
    <t>FA045300.04</t>
  </si>
  <si>
    <t>DMM16RA179L8</t>
  </si>
  <si>
    <t>FA048259.05</t>
  </si>
  <si>
    <t>AVR20RB226L8</t>
  </si>
  <si>
    <t>ZD2A</t>
  </si>
  <si>
    <t>FA048258.06</t>
  </si>
  <si>
    <t>AVM20RB226L8</t>
  </si>
  <si>
    <t>FA071127.00</t>
  </si>
  <si>
    <t>SAH12RC113L8</t>
  </si>
  <si>
    <t>FA070776.00</t>
  </si>
  <si>
    <t>UBL12SA134L8</t>
  </si>
  <si>
    <t>FA069748.02</t>
  </si>
  <si>
    <t>MMI20RC233L8</t>
  </si>
  <si>
    <t>ZD2E</t>
  </si>
  <si>
    <t>CBU</t>
  </si>
  <si>
    <t>FA067816.01</t>
  </si>
  <si>
    <t>UBL12RA134L8</t>
  </si>
  <si>
    <t>ZD2F</t>
  </si>
  <si>
    <t>ZD3D</t>
  </si>
  <si>
    <t>*Gab Palembang + Palembang 2</t>
  </si>
  <si>
    <t>ZD3Q</t>
  </si>
  <si>
    <t>ZD3G</t>
  </si>
  <si>
    <t>*Gab Jambi + Muarabungo</t>
  </si>
  <si>
    <t>FA062333.03</t>
  </si>
  <si>
    <t>MTB16RA200L8</t>
  </si>
  <si>
    <t>ZD3H</t>
  </si>
  <si>
    <t>ZD3B</t>
  </si>
  <si>
    <t>*Gab Lampung + Metro</t>
  </si>
  <si>
    <t>ZD3L</t>
  </si>
  <si>
    <t>ZD3I</t>
  </si>
  <si>
    <t>*Gab Bengkulu + Lubuklinggau</t>
  </si>
  <si>
    <t>ZD3K</t>
  </si>
  <si>
    <t>DPC Lubuk Linggau</t>
  </si>
  <si>
    <t>ZD4C</t>
  </si>
  <si>
    <t>FA045795.11</t>
  </si>
  <si>
    <t>MLD12RA139L8</t>
  </si>
  <si>
    <t>FA044121.16</t>
  </si>
  <si>
    <t>MLD16RA195L8</t>
  </si>
  <si>
    <t>FA069010.02</t>
  </si>
  <si>
    <t>ZD4H</t>
  </si>
  <si>
    <t>MFB12RA134L8</t>
  </si>
  <si>
    <t>ZD4F</t>
  </si>
  <si>
    <t>DPC Jakarta Timur</t>
  </si>
  <si>
    <t>ZD4G</t>
  </si>
  <si>
    <t>ZD4J</t>
  </si>
  <si>
    <t>*Gab Tangerang + Serang</t>
  </si>
  <si>
    <t>ZD4E</t>
  </si>
  <si>
    <t>ZD4Q</t>
  </si>
  <si>
    <t>DPC Tangerang A</t>
  </si>
  <si>
    <t>ZD5A</t>
  </si>
  <si>
    <t>PT. Sampoerna Indonesia Sembilan</t>
  </si>
  <si>
    <t>FA067815.03</t>
  </si>
  <si>
    <t>ZD5B</t>
  </si>
  <si>
    <t>UMC16RB179L8</t>
  </si>
  <si>
    <t>FA067814.02</t>
  </si>
  <si>
    <t>UML16RB179L8</t>
  </si>
  <si>
    <t>ZD5C</t>
  </si>
  <si>
    <t>*Gab Sukabumi + Cianjur</t>
  </si>
  <si>
    <t>ZD5K</t>
  </si>
  <si>
    <t>DPC Cianjur</t>
  </si>
  <si>
    <t>ZD5E</t>
  </si>
  <si>
    <t>*Gab Tasik + Garut</t>
  </si>
  <si>
    <t>ZD5D</t>
  </si>
  <si>
    <t>ZD6J</t>
  </si>
  <si>
    <t>*Gab Surakarta + Salatiga</t>
  </si>
  <si>
    <t>ZD6E</t>
  </si>
  <si>
    <t>ZD9A</t>
  </si>
  <si>
    <t>FA068324.02</t>
  </si>
  <si>
    <t>UML12RB134L8</t>
  </si>
  <si>
    <t>ZD2D</t>
  </si>
  <si>
    <t>ZD9J</t>
  </si>
  <si>
    <t>Depo Samarinda</t>
  </si>
  <si>
    <t>ZD0A</t>
  </si>
  <si>
    <t>ZD2G</t>
  </si>
  <si>
    <t>ZD3J</t>
  </si>
  <si>
    <t>Agen Arjuna</t>
  </si>
  <si>
    <t>FA069732.00</t>
  </si>
  <si>
    <t>MMB16RA200L8</t>
  </si>
  <si>
    <t>Agen Senang</t>
  </si>
  <si>
    <t>ZD3E</t>
  </si>
  <si>
    <t>*Gab Lahat + Baturaja</t>
  </si>
  <si>
    <t>ZD3N</t>
  </si>
  <si>
    <t>DPC Kalianda</t>
  </si>
  <si>
    <t>*Gab Kalianda + Pringsewu</t>
  </si>
  <si>
    <t>ZD3M</t>
  </si>
  <si>
    <t>DPC Pringsewu</t>
  </si>
  <si>
    <t>*Gab Kotabumi + Pringsewu</t>
  </si>
  <si>
    <t>ZD3O</t>
  </si>
  <si>
    <t>DPC Tuba</t>
  </si>
  <si>
    <t>ZD4O</t>
  </si>
  <si>
    <t>ZD6G</t>
  </si>
  <si>
    <t>*Gab Yogya + Magelang</t>
  </si>
  <si>
    <t>ZD6F</t>
  </si>
  <si>
    <t>ZD7O</t>
  </si>
  <si>
    <t>*Gab Duri + Molek</t>
  </si>
  <si>
    <t>ZD5F</t>
  </si>
  <si>
    <t>ZD5H</t>
  </si>
  <si>
    <t>*Gab Cilacap + Purwokerto</t>
  </si>
  <si>
    <t>ZD6K</t>
  </si>
  <si>
    <t>DPC Cilacap</t>
  </si>
  <si>
    <t>ZD6C</t>
  </si>
  <si>
    <t>*Gab Tegal + Pekalongan</t>
  </si>
  <si>
    <t>ZD6D</t>
  </si>
  <si>
    <t>DPC Pekalongan</t>
  </si>
  <si>
    <t>ZD2H</t>
  </si>
  <si>
    <t>DPC Tanjung Balai Karimun</t>
  </si>
  <si>
    <t>FA069393.01</t>
  </si>
  <si>
    <t>KPS 19</t>
  </si>
  <si>
    <t>MLP16RA220L8</t>
  </si>
  <si>
    <t>ZD4I</t>
  </si>
  <si>
    <t>Prioritas</t>
  </si>
  <si>
    <t>DPC Tanjung Pinang</t>
  </si>
  <si>
    <t>Roro</t>
  </si>
  <si>
    <t>FA054514.12</t>
  </si>
  <si>
    <t>SAH12RB113L8</t>
  </si>
  <si>
    <t>ADW Tasikmalaya</t>
  </si>
  <si>
    <t>ADW Sukabumi</t>
  </si>
  <si>
    <t>ADW Palembang</t>
  </si>
  <si>
    <t>ADW Jakarta Utara</t>
  </si>
  <si>
    <t>ADW Jakarta Timur A</t>
  </si>
  <si>
    <t>ADW Bogor</t>
  </si>
  <si>
    <t>ADW Serang</t>
  </si>
  <si>
    <t>ADW Karawang</t>
  </si>
  <si>
    <t>ADW Bekasi</t>
  </si>
  <si>
    <t>ADW Bandung</t>
  </si>
  <si>
    <t>ADW Bandung 3</t>
  </si>
  <si>
    <t>DC Surabaya - Kalirungkut</t>
  </si>
  <si>
    <t>ADW Padang</t>
  </si>
  <si>
    <t>ADW Duri</t>
  </si>
  <si>
    <t>ADW Air Molek</t>
  </si>
  <si>
    <t>ADW Palembang 2</t>
  </si>
  <si>
    <t>ADW Lahat</t>
  </si>
  <si>
    <t>ADW Jambi</t>
  </si>
  <si>
    <t>ADW Muara Bungo</t>
  </si>
  <si>
    <t>ADW Lampung</t>
  </si>
  <si>
    <t>ADW Metro</t>
  </si>
  <si>
    <t>ADW Bengkulu</t>
  </si>
  <si>
    <t>ADW Tangerang</t>
  </si>
  <si>
    <t>ADW Magelang</t>
  </si>
  <si>
    <t>ADW Yogyakarta</t>
  </si>
  <si>
    <t>ADW Salatiga</t>
  </si>
  <si>
    <t>ADW Pati</t>
  </si>
  <si>
    <t>ADW Pekanbaru</t>
  </si>
  <si>
    <t>ADW Cirebon</t>
  </si>
  <si>
    <t>ADW Garut</t>
  </si>
  <si>
    <t>ADW Purwokerto</t>
  </si>
  <si>
    <t>ADW Pangkal Pinang</t>
  </si>
  <si>
    <t>ADW Pontianak</t>
  </si>
  <si>
    <t>ADW Makassar</t>
  </si>
  <si>
    <t>ADW Batam</t>
  </si>
  <si>
    <t>ADW Tegal</t>
  </si>
  <si>
    <t>DC Karawang Lot. 17 Pre Order</t>
  </si>
  <si>
    <t>Cont 40FT HC</t>
  </si>
  <si>
    <t>Cont 20FT</t>
  </si>
  <si>
    <t>Standard</t>
  </si>
  <si>
    <t>Cont 10FT</t>
  </si>
  <si>
    <t>Light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</si>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</sst>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164" formatCode="[$-409]d/mmm/yyyy;@"/>
    <numFmt numFmtId="165" formatCode="[$-409]d\ mmmm\ yyyy;@"/>
  </numFmts>
  <fonts count="5" x14ac:knownFonts="1">
    <font>
      <sz val="10"/>
      <name val="Arial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0" xfId="0" applyFont="1" applyFill="1" applyBorder="1" applyAlignment="1">
      <alignment horizontal="center"/>
    </xf>
    <xf numFmtId="0" fontId="2" fillId="0" borderId="2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left"/>
    </xf>
    <xf numFmtId="0" fontId="2" fillId="0" borderId="3" xfId="0" applyFont="1" applyFill="1" applyBorder="1"/>
    <xf numFmtId="0" fontId="2" fillId="0" borderId="0" xfId="0" applyFont="1" applyFill="1" applyAlignment="1">
      <alignment horizontal="left"/>
    </xf>
    <xf numFmtId="164" fontId="2" fillId="0" borderId="0" xfId="0" applyNumberFormat="1" applyFont="1" applyFill="1" applyAlignment="1">
      <alignment horizontal="left"/>
    </xf>
    <xf numFmtId="0" fontId="2" fillId="0" borderId="8" xfId="0" applyFont="1" applyFill="1" applyBorder="1"/>
    <xf numFmtId="0" fontId="2" fillId="0" borderId="1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65" fontId="2" fillId="0" borderId="0" xfId="0" applyNumberFormat="1" applyFont="1"/>
    <xf numFmtId="0" fontId="2" fillId="0" borderId="3" xfId="0" applyFont="1" applyFill="1" applyBorder="1" applyAlignment="1">
      <alignment horizontal="left" vertical="center"/>
    </xf>
    <xf numFmtId="0" fontId="2" fillId="0" borderId="9" xfId="0" applyFont="1" applyFill="1" applyBorder="1"/>
    <xf numFmtId="0" fontId="2" fillId="0" borderId="10" xfId="0" applyFont="1" applyFill="1" applyBorder="1"/>
    <xf numFmtId="0" fontId="2" fillId="0" borderId="3" xfId="0" applyFont="1" applyFill="1" applyBorder="1" applyAlignment="1">
      <alignment horizontal="left"/>
    </xf>
    <xf numFmtId="0" fontId="4" fillId="0" borderId="0" xfId="0" applyFont="1" applyFill="1"/>
    <xf numFmtId="164" fontId="2" fillId="0" borderId="11" xfId="0" applyNumberFormat="1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left"/>
    </xf>
    <xf numFmtId="0" fontId="2" fillId="3" borderId="3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left"/>
    </xf>
    <xf numFmtId="0" fontId="2" fillId="4" borderId="3" xfId="0" applyFont="1" applyFill="1" applyBorder="1"/>
    <xf numFmtId="0" fontId="2" fillId="4" borderId="2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6" borderId="0" xfId="0" applyFont="1" applyFill="1" applyAlignment="1">
      <alignment horizontal="center"/>
    </xf>
    <xf numFmtId="164" fontId="2" fillId="6" borderId="1" xfId="0" applyNumberFormat="1" applyFont="1" applyFill="1" applyBorder="1" applyAlignment="1">
      <alignment horizontal="left"/>
    </xf>
    <xf numFmtId="0" fontId="2" fillId="6" borderId="3" xfId="0" applyFont="1" applyFill="1" applyBorder="1"/>
    <xf numFmtId="0" fontId="2" fillId="6" borderId="3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4">
    <cellStyle name="Comma [0] 2" xfId="3"/>
    <cellStyle name="Comma 2" xfId="2"/>
    <cellStyle name="Normal" xfId="0" builtinId="0"/>
    <cellStyle name="Normal 2" xfId="1"/>
  </cellStyles>
  <dxfs count="0"/>
  <tableStyles count="1" defaultTableStyle="Table Style 1" defaultPivotStyle="PivotStyleLight16">
    <tableStyle name="Table Style 1" pivot="0" count="0"/>
  </tableStyles>
  <colors>
    <mruColors>
      <color rgb="FF99FF99"/>
      <color rgb="FFEAEAEA"/>
      <color rgb="FF66FF66"/>
      <color rgb="FF8DB4E2"/>
      <color rgb="FFFF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224"/>
  <sheetViews>
    <sheetView showGridLines="0" zoomScaleNormal="100" workbookViewId="0">
      <pane ySplit="3" topLeftCell="A4" activePane="bottomLeft" state="frozen"/>
      <selection sqref="A1:M1"/>
      <selection pane="bottomLeft" activeCell="E4" sqref="E4"/>
    </sheetView>
  </sheetViews>
  <sheetFormatPr defaultColWidth="9.42578125" defaultRowHeight="12.75" x14ac:dyDescent="0.2"/>
  <cols>
    <col min="1" max="1" width="11" style="8" customWidth="1"/>
    <col min="2" max="2" width="29.7109375" style="8" customWidth="1"/>
    <col min="3" max="3" width="15" style="8" customWidth="1"/>
    <col min="4" max="4" width="5.42578125" style="8" customWidth="1"/>
    <col min="5" max="5" width="5.5703125" style="7" bestFit="1" customWidth="1"/>
    <col min="6" max="6" width="13.28515625" style="16" customWidth="1"/>
    <col min="7" max="7" width="6" style="16" customWidth="1"/>
    <col min="8" max="8" width="26.7109375" style="8" customWidth="1"/>
    <col min="9" max="9" width="6" style="8" customWidth="1"/>
    <col min="10" max="10" width="24" style="8" customWidth="1"/>
    <col min="11" max="11" width="4" style="8" bestFit="1" customWidth="1"/>
    <col min="12" max="12" width="22.42578125" style="8" bestFit="1" customWidth="1"/>
    <col min="13" max="13" width="28.5703125" style="8" customWidth="1"/>
    <col min="14" max="14" width="14" style="15" bestFit="1" customWidth="1"/>
    <col min="15" max="15" width="20.42578125" style="7" customWidth="1"/>
    <col min="16" max="16384" width="9.42578125" style="8"/>
  </cols>
  <sheetData>
    <row r="1" spans="1:15" s="2" customFormat="1" x14ac:dyDescent="0.2">
      <c r="A1" s="44" t="str">
        <f>"Pengiriman ( Senin ) Tgl. "&amp;TEXT(DATE(2018,7,23),"dd mmmm yyyy")</f>
        <v>Pengiriman ( Senin ) Tgl. 23 July 2018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6"/>
      <c r="O1" s="1"/>
    </row>
    <row r="2" spans="1:15" s="2" customFormat="1" ht="15" customHeight="1" thickBot="1" x14ac:dyDescent="0.25">
      <c r="E2" s="1"/>
      <c r="F2" s="3"/>
      <c r="G2" s="3"/>
      <c r="H2" s="21"/>
      <c r="J2" s="21"/>
      <c r="L2" s="21"/>
      <c r="N2" s="6"/>
      <c r="O2" s="1"/>
    </row>
    <row r="3" spans="1:15" s="2" customFormat="1" ht="13.5" thickBot="1" x14ac:dyDescent="0.25">
      <c r="A3" s="4" t="s">
        <v>9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19"/>
      <c r="H3" s="20" t="s">
        <v>5</v>
      </c>
      <c r="I3" s="19"/>
      <c r="J3" s="20" t="s">
        <v>6</v>
      </c>
      <c r="K3" s="5" t="s">
        <v>7</v>
      </c>
      <c r="L3" s="5" t="s">
        <v>10</v>
      </c>
      <c r="M3" s="5" t="s">
        <v>8</v>
      </c>
      <c r="N3" s="5" t="s">
        <v>11</v>
      </c>
      <c r="O3" s="1"/>
    </row>
    <row r="4" spans="1:15" x14ac:dyDescent="0.2">
      <c r="A4" s="10">
        <v>4701365886</v>
      </c>
      <c r="B4" s="11" t="s">
        <v>12</v>
      </c>
      <c r="C4" s="11" t="s">
        <v>13</v>
      </c>
      <c r="D4" s="11">
        <v>729</v>
      </c>
      <c r="E4" s="9" t="s">
        <v>199</v>
      </c>
      <c r="F4" s="13">
        <v>43304</v>
      </c>
      <c r="G4" s="13" t="s">
        <v>14</v>
      </c>
      <c r="H4" s="11" t="s">
        <v>15</v>
      </c>
      <c r="I4" s="11" t="s">
        <v>16</v>
      </c>
      <c r="J4" s="11" t="s">
        <v>17</v>
      </c>
      <c r="K4" s="11">
        <v>1</v>
      </c>
      <c r="L4" s="11" t="s">
        <v>194</v>
      </c>
      <c r="M4" s="11"/>
      <c r="N4" s="14" t="s">
        <v>18</v>
      </c>
    </row>
    <row r="5" spans="1:15" x14ac:dyDescent="0.2">
      <c r="A5" s="10">
        <v>4701365887</v>
      </c>
      <c r="B5" s="11" t="s">
        <v>12</v>
      </c>
      <c r="C5" s="11" t="s">
        <v>19</v>
      </c>
      <c r="D5" s="11">
        <v>1138</v>
      </c>
      <c r="E5" s="7" t="s">
        <v>199</v>
      </c>
      <c r="F5" s="13">
        <v>43304</v>
      </c>
      <c r="G5" s="13" t="s">
        <v>14</v>
      </c>
      <c r="H5" s="11" t="s">
        <v>15</v>
      </c>
      <c r="I5" s="11" t="s">
        <v>16</v>
      </c>
      <c r="J5" s="11" t="s">
        <v>17</v>
      </c>
      <c r="K5" s="11">
        <v>2</v>
      </c>
      <c r="L5" s="11" t="s">
        <v>194</v>
      </c>
      <c r="M5" s="11"/>
      <c r="N5" s="14" t="s">
        <v>20</v>
      </c>
    </row>
    <row r="6" spans="1:15" x14ac:dyDescent="0.2">
      <c r="A6" s="10">
        <v>4701365888</v>
      </c>
      <c r="B6" s="11" t="s">
        <v>12</v>
      </c>
      <c r="C6" s="11" t="s">
        <v>19</v>
      </c>
      <c r="D6" s="11">
        <v>1138</v>
      </c>
      <c r="E6" s="7" t="s">
        <v>199</v>
      </c>
      <c r="F6" s="13">
        <v>43304</v>
      </c>
      <c r="G6" s="13" t="s">
        <v>14</v>
      </c>
      <c r="H6" s="11" t="s">
        <v>15</v>
      </c>
      <c r="I6" s="11" t="s">
        <v>16</v>
      </c>
      <c r="J6" s="11" t="s">
        <v>17</v>
      </c>
      <c r="K6" s="11">
        <v>3</v>
      </c>
      <c r="L6" s="11" t="s">
        <v>194</v>
      </c>
      <c r="M6" s="11"/>
      <c r="N6" s="14" t="s">
        <v>20</v>
      </c>
    </row>
    <row r="7" spans="1:15" x14ac:dyDescent="0.2">
      <c r="A7" s="10">
        <v>4701365889</v>
      </c>
      <c r="B7" s="11" t="s">
        <v>12</v>
      </c>
      <c r="C7" s="11" t="s">
        <v>19</v>
      </c>
      <c r="D7" s="11">
        <v>1138</v>
      </c>
      <c r="E7" s="7" t="s">
        <v>199</v>
      </c>
      <c r="F7" s="13">
        <v>43304</v>
      </c>
      <c r="G7" s="13" t="s">
        <v>14</v>
      </c>
      <c r="H7" s="11" t="s">
        <v>15</v>
      </c>
      <c r="I7" s="11" t="s">
        <v>16</v>
      </c>
      <c r="J7" s="11" t="s">
        <v>17</v>
      </c>
      <c r="K7" s="11">
        <v>4</v>
      </c>
      <c r="L7" s="11" t="s">
        <v>194</v>
      </c>
      <c r="M7" s="11"/>
      <c r="N7" s="14" t="s">
        <v>20</v>
      </c>
    </row>
    <row r="8" spans="1:15" x14ac:dyDescent="0.2">
      <c r="A8" s="10">
        <v>4701365890</v>
      </c>
      <c r="B8" s="11" t="s">
        <v>12</v>
      </c>
      <c r="C8" s="11" t="s">
        <v>19</v>
      </c>
      <c r="D8" s="11">
        <v>1138</v>
      </c>
      <c r="E8" s="9" t="s">
        <v>199</v>
      </c>
      <c r="F8" s="13">
        <v>43304</v>
      </c>
      <c r="G8" s="13" t="s">
        <v>14</v>
      </c>
      <c r="H8" s="11" t="s">
        <v>15</v>
      </c>
      <c r="I8" s="11" t="s">
        <v>16</v>
      </c>
      <c r="J8" s="11" t="s">
        <v>17</v>
      </c>
      <c r="K8" s="11">
        <v>5</v>
      </c>
      <c r="L8" s="11" t="s">
        <v>194</v>
      </c>
      <c r="M8" s="11"/>
      <c r="N8" s="14" t="s">
        <v>20</v>
      </c>
    </row>
    <row r="9" spans="1:15" x14ac:dyDescent="0.2">
      <c r="A9" s="10">
        <v>4701365891</v>
      </c>
      <c r="B9" s="11" t="s">
        <v>12</v>
      </c>
      <c r="C9" s="11" t="s">
        <v>21</v>
      </c>
      <c r="D9" s="11">
        <v>95</v>
      </c>
      <c r="E9" s="9" t="s">
        <v>199</v>
      </c>
      <c r="F9" s="13">
        <v>43304</v>
      </c>
      <c r="G9" s="13" t="s">
        <v>22</v>
      </c>
      <c r="H9" s="11" t="s">
        <v>23</v>
      </c>
      <c r="I9" s="11" t="s">
        <v>24</v>
      </c>
      <c r="J9" s="11" t="s">
        <v>25</v>
      </c>
      <c r="K9" s="11">
        <v>6</v>
      </c>
      <c r="L9" s="11" t="s">
        <v>195</v>
      </c>
      <c r="M9" s="11"/>
      <c r="N9" s="14" t="s">
        <v>26</v>
      </c>
    </row>
    <row r="10" spans="1:15" x14ac:dyDescent="0.2">
      <c r="A10" s="10"/>
      <c r="B10" s="11" t="s">
        <v>12</v>
      </c>
      <c r="C10" s="11" t="s">
        <v>27</v>
      </c>
      <c r="D10" s="11">
        <v>140</v>
      </c>
      <c r="E10" s="9" t="s">
        <v>199</v>
      </c>
      <c r="F10" s="13">
        <v>43304</v>
      </c>
      <c r="G10" s="13" t="s">
        <v>22</v>
      </c>
      <c r="H10" s="11" t="s">
        <v>23</v>
      </c>
      <c r="I10" s="11" t="s">
        <v>24</v>
      </c>
      <c r="J10" s="11" t="s">
        <v>25</v>
      </c>
      <c r="K10" s="11">
        <v>6</v>
      </c>
      <c r="L10" s="11" t="s">
        <v>195</v>
      </c>
      <c r="M10" s="11"/>
      <c r="N10" s="14" t="s">
        <v>28</v>
      </c>
    </row>
    <row r="11" spans="1:15" x14ac:dyDescent="0.2">
      <c r="A11" s="10"/>
      <c r="B11" s="11" t="s">
        <v>12</v>
      </c>
      <c r="C11" s="11" t="s">
        <v>29</v>
      </c>
      <c r="D11" s="11">
        <v>4</v>
      </c>
      <c r="E11" s="7" t="s">
        <v>199</v>
      </c>
      <c r="F11" s="13">
        <v>43304</v>
      </c>
      <c r="G11" s="13" t="s">
        <v>22</v>
      </c>
      <c r="H11" s="11" t="s">
        <v>23</v>
      </c>
      <c r="I11" s="11" t="s">
        <v>24</v>
      </c>
      <c r="J11" s="11" t="s">
        <v>25</v>
      </c>
      <c r="K11" s="11">
        <v>6</v>
      </c>
      <c r="L11" s="11" t="s">
        <v>195</v>
      </c>
      <c r="M11" s="11"/>
      <c r="N11" s="14" t="s">
        <v>30</v>
      </c>
    </row>
    <row r="12" spans="1:15" x14ac:dyDescent="0.2">
      <c r="A12" s="10"/>
      <c r="B12" s="11" t="s">
        <v>12</v>
      </c>
      <c r="C12" s="11" t="s">
        <v>31</v>
      </c>
      <c r="D12" s="11">
        <v>80</v>
      </c>
      <c r="E12" s="9" t="s">
        <v>199</v>
      </c>
      <c r="F12" s="13">
        <v>43304</v>
      </c>
      <c r="G12" s="13" t="s">
        <v>22</v>
      </c>
      <c r="H12" s="11" t="s">
        <v>23</v>
      </c>
      <c r="I12" s="11" t="s">
        <v>24</v>
      </c>
      <c r="J12" s="11" t="s">
        <v>25</v>
      </c>
      <c r="K12" s="11">
        <v>6</v>
      </c>
      <c r="L12" s="11" t="s">
        <v>195</v>
      </c>
      <c r="M12" s="11"/>
      <c r="N12" s="14" t="s">
        <v>32</v>
      </c>
    </row>
    <row r="13" spans="1:15" x14ac:dyDescent="0.2">
      <c r="A13" s="10">
        <v>4701365892</v>
      </c>
      <c r="B13" s="11" t="s">
        <v>12</v>
      </c>
      <c r="C13" s="11" t="s">
        <v>31</v>
      </c>
      <c r="D13" s="11">
        <v>61</v>
      </c>
      <c r="E13" s="7" t="s">
        <v>199</v>
      </c>
      <c r="F13" s="13">
        <v>43304</v>
      </c>
      <c r="G13" s="13" t="s">
        <v>22</v>
      </c>
      <c r="H13" s="11" t="s">
        <v>23</v>
      </c>
      <c r="I13" s="11" t="s">
        <v>24</v>
      </c>
      <c r="J13" s="11" t="s">
        <v>25</v>
      </c>
      <c r="K13" s="11">
        <v>7</v>
      </c>
      <c r="L13" s="11" t="s">
        <v>195</v>
      </c>
      <c r="M13" s="11"/>
      <c r="N13" s="14" t="s">
        <v>32</v>
      </c>
    </row>
    <row r="14" spans="1:15" x14ac:dyDescent="0.2">
      <c r="A14" s="10">
        <v>4701365893</v>
      </c>
      <c r="B14" s="11" t="s">
        <v>33</v>
      </c>
      <c r="C14" s="11" t="s">
        <v>34</v>
      </c>
      <c r="D14" s="11">
        <v>80</v>
      </c>
      <c r="E14" s="7" t="s">
        <v>199</v>
      </c>
      <c r="F14" s="13">
        <v>43304</v>
      </c>
      <c r="G14" s="13" t="s">
        <v>22</v>
      </c>
      <c r="H14" s="11" t="s">
        <v>23</v>
      </c>
      <c r="I14" s="11" t="s">
        <v>24</v>
      </c>
      <c r="J14" s="11" t="s">
        <v>25</v>
      </c>
      <c r="K14" s="11">
        <v>7</v>
      </c>
      <c r="L14" s="11" t="s">
        <v>195</v>
      </c>
      <c r="M14" s="11"/>
      <c r="N14" s="14" t="s">
        <v>35</v>
      </c>
    </row>
    <row r="15" spans="1:15" x14ac:dyDescent="0.2">
      <c r="A15" s="10"/>
      <c r="B15" s="11" t="s">
        <v>33</v>
      </c>
      <c r="C15" s="11" t="s">
        <v>36</v>
      </c>
      <c r="D15" s="11">
        <v>10</v>
      </c>
      <c r="E15" s="7" t="s">
        <v>199</v>
      </c>
      <c r="F15" s="13">
        <v>43304</v>
      </c>
      <c r="G15" s="13" t="s">
        <v>22</v>
      </c>
      <c r="H15" s="11" t="s">
        <v>23</v>
      </c>
      <c r="I15" s="11" t="s">
        <v>24</v>
      </c>
      <c r="J15" s="11" t="s">
        <v>25</v>
      </c>
      <c r="K15" s="11">
        <v>7</v>
      </c>
      <c r="L15" s="11" t="s">
        <v>195</v>
      </c>
      <c r="M15" s="11"/>
      <c r="N15" s="14" t="s">
        <v>37</v>
      </c>
    </row>
    <row r="16" spans="1:15" x14ac:dyDescent="0.2">
      <c r="A16" s="10">
        <v>4701365894</v>
      </c>
      <c r="B16" s="11" t="s">
        <v>12</v>
      </c>
      <c r="C16" s="11" t="s">
        <v>19</v>
      </c>
      <c r="D16" s="11">
        <v>270</v>
      </c>
      <c r="E16" s="7" t="s">
        <v>199</v>
      </c>
      <c r="F16" s="13">
        <v>43304</v>
      </c>
      <c r="G16" s="13" t="s">
        <v>22</v>
      </c>
      <c r="H16" s="11" t="s">
        <v>23</v>
      </c>
      <c r="I16" s="11" t="s">
        <v>16</v>
      </c>
      <c r="J16" s="11" t="s">
        <v>17</v>
      </c>
      <c r="K16" s="11">
        <v>7</v>
      </c>
      <c r="L16" s="11" t="s">
        <v>195</v>
      </c>
      <c r="M16" s="11"/>
      <c r="N16" s="14" t="s">
        <v>20</v>
      </c>
    </row>
    <row r="17" spans="1:14" x14ac:dyDescent="0.2">
      <c r="A17" s="10">
        <v>4701365895</v>
      </c>
      <c r="B17" s="11" t="s">
        <v>12</v>
      </c>
      <c r="C17" s="11" t="s">
        <v>13</v>
      </c>
      <c r="D17" s="11">
        <v>4</v>
      </c>
      <c r="E17" s="7" t="s">
        <v>199</v>
      </c>
      <c r="F17" s="13">
        <v>43304</v>
      </c>
      <c r="G17" s="13" t="s">
        <v>22</v>
      </c>
      <c r="H17" s="11" t="s">
        <v>23</v>
      </c>
      <c r="I17" s="11" t="s">
        <v>16</v>
      </c>
      <c r="J17" s="11" t="s">
        <v>17</v>
      </c>
      <c r="K17" s="11">
        <v>8</v>
      </c>
      <c r="L17" s="11" t="s">
        <v>195</v>
      </c>
      <c r="M17" s="11"/>
      <c r="N17" s="14" t="s">
        <v>18</v>
      </c>
    </row>
    <row r="18" spans="1:14" x14ac:dyDescent="0.2">
      <c r="A18" s="10"/>
      <c r="B18" s="11" t="s">
        <v>12</v>
      </c>
      <c r="C18" s="11" t="s">
        <v>38</v>
      </c>
      <c r="D18" s="11">
        <v>110</v>
      </c>
      <c r="E18" s="7" t="s">
        <v>199</v>
      </c>
      <c r="F18" s="13">
        <v>43304</v>
      </c>
      <c r="G18" s="13" t="s">
        <v>22</v>
      </c>
      <c r="H18" s="11" t="s">
        <v>23</v>
      </c>
      <c r="I18" s="11" t="s">
        <v>16</v>
      </c>
      <c r="J18" s="11" t="s">
        <v>17</v>
      </c>
      <c r="K18" s="11">
        <v>8</v>
      </c>
      <c r="L18" s="11" t="s">
        <v>195</v>
      </c>
      <c r="M18" s="11"/>
      <c r="N18" s="14" t="s">
        <v>39</v>
      </c>
    </row>
    <row r="19" spans="1:14" x14ac:dyDescent="0.2">
      <c r="A19" s="10"/>
      <c r="B19" s="11" t="s">
        <v>12</v>
      </c>
      <c r="C19" s="11" t="s">
        <v>19</v>
      </c>
      <c r="D19" s="37">
        <f>190-7</f>
        <v>183</v>
      </c>
      <c r="E19" s="7" t="s">
        <v>199</v>
      </c>
      <c r="F19" s="13">
        <v>43304</v>
      </c>
      <c r="G19" s="13" t="s">
        <v>22</v>
      </c>
      <c r="H19" s="11" t="s">
        <v>23</v>
      </c>
      <c r="I19" s="11" t="s">
        <v>16</v>
      </c>
      <c r="J19" s="11" t="s">
        <v>17</v>
      </c>
      <c r="K19" s="11">
        <v>8</v>
      </c>
      <c r="L19" s="11" t="s">
        <v>195</v>
      </c>
      <c r="M19" s="11"/>
      <c r="N19" s="14" t="s">
        <v>20</v>
      </c>
    </row>
    <row r="20" spans="1:14" x14ac:dyDescent="0.2">
      <c r="A20" s="10"/>
      <c r="B20" s="11" t="s">
        <v>12</v>
      </c>
      <c r="C20" s="11" t="s">
        <v>40</v>
      </c>
      <c r="D20" s="37">
        <f>13+5</f>
        <v>18</v>
      </c>
      <c r="E20" s="7" t="s">
        <v>199</v>
      </c>
      <c r="F20" s="13">
        <v>43304</v>
      </c>
      <c r="G20" s="13" t="s">
        <v>22</v>
      </c>
      <c r="H20" s="11" t="s">
        <v>23</v>
      </c>
      <c r="I20" s="11" t="s">
        <v>16</v>
      </c>
      <c r="J20" s="11" t="s">
        <v>17</v>
      </c>
      <c r="K20" s="11">
        <v>8</v>
      </c>
      <c r="L20" s="11" t="s">
        <v>195</v>
      </c>
      <c r="M20" s="11"/>
      <c r="N20" s="14" t="s">
        <v>41</v>
      </c>
    </row>
    <row r="21" spans="1:14" x14ac:dyDescent="0.2">
      <c r="A21" s="10"/>
      <c r="B21" s="11" t="s">
        <v>12</v>
      </c>
      <c r="C21" s="11" t="s">
        <v>42</v>
      </c>
      <c r="D21" s="11">
        <v>148</v>
      </c>
      <c r="E21" s="7" t="s">
        <v>199</v>
      </c>
      <c r="F21" s="13">
        <v>43304</v>
      </c>
      <c r="G21" s="13" t="s">
        <v>22</v>
      </c>
      <c r="H21" s="11" t="s">
        <v>23</v>
      </c>
      <c r="I21" s="11" t="s">
        <v>16</v>
      </c>
      <c r="J21" s="11" t="s">
        <v>17</v>
      </c>
      <c r="K21" s="11">
        <v>8</v>
      </c>
      <c r="L21" s="11" t="s">
        <v>195</v>
      </c>
      <c r="M21" s="11"/>
      <c r="N21" s="14" t="s">
        <v>43</v>
      </c>
    </row>
    <row r="22" spans="1:14" x14ac:dyDescent="0.2">
      <c r="A22" s="10">
        <v>4701365896</v>
      </c>
      <c r="B22" s="11" t="s">
        <v>12</v>
      </c>
      <c r="C22" s="11" t="s">
        <v>44</v>
      </c>
      <c r="D22" s="11">
        <v>60</v>
      </c>
      <c r="E22" s="7" t="s">
        <v>199</v>
      </c>
      <c r="F22" s="13">
        <v>43304</v>
      </c>
      <c r="G22" s="13" t="s">
        <v>22</v>
      </c>
      <c r="H22" s="11" t="s">
        <v>23</v>
      </c>
      <c r="I22" s="11" t="s">
        <v>16</v>
      </c>
      <c r="J22" s="11" t="s">
        <v>17</v>
      </c>
      <c r="K22" s="11">
        <v>9</v>
      </c>
      <c r="L22" s="11" t="s">
        <v>195</v>
      </c>
      <c r="M22" s="11"/>
      <c r="N22" s="14" t="s">
        <v>45</v>
      </c>
    </row>
    <row r="23" spans="1:14" x14ac:dyDescent="0.2">
      <c r="A23" s="10"/>
      <c r="B23" s="11" t="s">
        <v>12</v>
      </c>
      <c r="C23" s="11" t="s">
        <v>19</v>
      </c>
      <c r="D23" s="37">
        <f>416+7</f>
        <v>423</v>
      </c>
      <c r="E23" s="7" t="s">
        <v>199</v>
      </c>
      <c r="F23" s="13">
        <v>43304</v>
      </c>
      <c r="G23" s="13" t="s">
        <v>22</v>
      </c>
      <c r="H23" s="11" t="s">
        <v>23</v>
      </c>
      <c r="I23" s="11" t="s">
        <v>16</v>
      </c>
      <c r="J23" s="11" t="s">
        <v>17</v>
      </c>
      <c r="K23" s="11">
        <v>9</v>
      </c>
      <c r="L23" s="11" t="s">
        <v>195</v>
      </c>
      <c r="M23" s="11"/>
      <c r="N23" s="14" t="s">
        <v>20</v>
      </c>
    </row>
    <row r="24" spans="1:14" x14ac:dyDescent="0.2">
      <c r="A24" s="10"/>
      <c r="B24" s="11" t="s">
        <v>12</v>
      </c>
      <c r="C24" s="11" t="s">
        <v>40</v>
      </c>
      <c r="D24" s="37">
        <f>5-5</f>
        <v>0</v>
      </c>
      <c r="E24" s="7" t="s">
        <v>199</v>
      </c>
      <c r="F24" s="13">
        <v>43304</v>
      </c>
      <c r="G24" s="13" t="s">
        <v>22</v>
      </c>
      <c r="H24" s="11" t="s">
        <v>23</v>
      </c>
      <c r="I24" s="11" t="s">
        <v>16</v>
      </c>
      <c r="J24" s="11" t="s">
        <v>17</v>
      </c>
      <c r="K24" s="11">
        <v>9</v>
      </c>
      <c r="L24" s="11" t="s">
        <v>195</v>
      </c>
      <c r="M24" s="11"/>
      <c r="N24" s="14" t="s">
        <v>41</v>
      </c>
    </row>
    <row r="25" spans="1:14" x14ac:dyDescent="0.2">
      <c r="A25" s="10">
        <v>4701365897</v>
      </c>
      <c r="B25" s="11" t="s">
        <v>12</v>
      </c>
      <c r="C25" s="11" t="s">
        <v>44</v>
      </c>
      <c r="D25" s="11">
        <v>17</v>
      </c>
      <c r="E25" s="7" t="s">
        <v>199</v>
      </c>
      <c r="F25" s="13">
        <v>43304</v>
      </c>
      <c r="G25" s="13" t="s">
        <v>46</v>
      </c>
      <c r="H25" s="11" t="s">
        <v>169</v>
      </c>
      <c r="I25" s="11" t="s">
        <v>24</v>
      </c>
      <c r="J25" s="11" t="s">
        <v>25</v>
      </c>
      <c r="K25" s="11">
        <v>10</v>
      </c>
      <c r="L25" s="11" t="s">
        <v>194</v>
      </c>
      <c r="M25" s="11"/>
      <c r="N25" s="14" t="s">
        <v>45</v>
      </c>
    </row>
    <row r="26" spans="1:14" x14ac:dyDescent="0.2">
      <c r="A26" s="10"/>
      <c r="B26" s="11" t="s">
        <v>12</v>
      </c>
      <c r="C26" s="11" t="s">
        <v>47</v>
      </c>
      <c r="D26" s="11">
        <v>12</v>
      </c>
      <c r="E26" s="7" t="s">
        <v>199</v>
      </c>
      <c r="F26" s="13">
        <v>43304</v>
      </c>
      <c r="G26" s="13" t="s">
        <v>46</v>
      </c>
      <c r="H26" s="11" t="s">
        <v>169</v>
      </c>
      <c r="I26" s="11" t="s">
        <v>24</v>
      </c>
      <c r="J26" s="11" t="s">
        <v>25</v>
      </c>
      <c r="K26" s="11">
        <v>10</v>
      </c>
      <c r="L26" s="11" t="s">
        <v>194</v>
      </c>
      <c r="M26" s="11"/>
      <c r="N26" s="14" t="s">
        <v>48</v>
      </c>
    </row>
    <row r="27" spans="1:14" x14ac:dyDescent="0.2">
      <c r="A27" s="10"/>
      <c r="B27" s="11" t="s">
        <v>12</v>
      </c>
      <c r="C27" s="11" t="s">
        <v>21</v>
      </c>
      <c r="D27" s="11">
        <v>100</v>
      </c>
      <c r="E27" s="7" t="s">
        <v>199</v>
      </c>
      <c r="F27" s="13">
        <v>43304</v>
      </c>
      <c r="G27" s="13" t="s">
        <v>46</v>
      </c>
      <c r="H27" s="11" t="s">
        <v>169</v>
      </c>
      <c r="I27" s="11" t="s">
        <v>24</v>
      </c>
      <c r="J27" s="11" t="s">
        <v>25</v>
      </c>
      <c r="K27" s="11">
        <v>10</v>
      </c>
      <c r="L27" s="11" t="s">
        <v>194</v>
      </c>
      <c r="M27" s="11"/>
      <c r="N27" s="14" t="s">
        <v>26</v>
      </c>
    </row>
    <row r="28" spans="1:14" x14ac:dyDescent="0.2">
      <c r="A28" s="10"/>
      <c r="B28" s="11" t="s">
        <v>12</v>
      </c>
      <c r="C28" s="11" t="s">
        <v>27</v>
      </c>
      <c r="D28" s="11">
        <v>100</v>
      </c>
      <c r="E28" s="7" t="s">
        <v>199</v>
      </c>
      <c r="F28" s="13">
        <v>43304</v>
      </c>
      <c r="G28" s="13" t="s">
        <v>46</v>
      </c>
      <c r="H28" s="11" t="s">
        <v>169</v>
      </c>
      <c r="I28" s="11" t="s">
        <v>24</v>
      </c>
      <c r="J28" s="11" t="s">
        <v>25</v>
      </c>
      <c r="K28" s="11">
        <v>10</v>
      </c>
      <c r="L28" s="11" t="s">
        <v>194</v>
      </c>
      <c r="M28" s="11"/>
      <c r="N28" s="14" t="s">
        <v>28</v>
      </c>
    </row>
    <row r="29" spans="1:14" x14ac:dyDescent="0.2">
      <c r="A29" s="10"/>
      <c r="B29" s="11" t="s">
        <v>12</v>
      </c>
      <c r="C29" s="11" t="s">
        <v>29</v>
      </c>
      <c r="D29" s="11">
        <v>12</v>
      </c>
      <c r="E29" s="7" t="s">
        <v>199</v>
      </c>
      <c r="F29" s="13">
        <v>43304</v>
      </c>
      <c r="G29" s="13" t="s">
        <v>46</v>
      </c>
      <c r="H29" s="11" t="s">
        <v>169</v>
      </c>
      <c r="I29" s="11" t="s">
        <v>24</v>
      </c>
      <c r="J29" s="11" t="s">
        <v>25</v>
      </c>
      <c r="K29" s="11">
        <v>10</v>
      </c>
      <c r="L29" s="11" t="s">
        <v>194</v>
      </c>
      <c r="M29" s="11"/>
      <c r="N29" s="14" t="s">
        <v>30</v>
      </c>
    </row>
    <row r="30" spans="1:14" x14ac:dyDescent="0.2">
      <c r="A30" s="10"/>
      <c r="B30" s="11" t="s">
        <v>12</v>
      </c>
      <c r="C30" s="11" t="s">
        <v>49</v>
      </c>
      <c r="D30" s="11">
        <v>50</v>
      </c>
      <c r="E30" s="7" t="s">
        <v>199</v>
      </c>
      <c r="F30" s="13">
        <v>43304</v>
      </c>
      <c r="G30" s="13" t="s">
        <v>46</v>
      </c>
      <c r="H30" s="11" t="s">
        <v>169</v>
      </c>
      <c r="I30" s="11" t="s">
        <v>24</v>
      </c>
      <c r="J30" s="11" t="s">
        <v>25</v>
      </c>
      <c r="K30" s="11">
        <v>10</v>
      </c>
      <c r="L30" s="11" t="s">
        <v>194</v>
      </c>
      <c r="M30" s="11"/>
      <c r="N30" s="14" t="s">
        <v>50</v>
      </c>
    </row>
    <row r="31" spans="1:14" x14ac:dyDescent="0.2">
      <c r="A31" s="10"/>
      <c r="B31" s="11" t="s">
        <v>12</v>
      </c>
      <c r="C31" s="11" t="s">
        <v>51</v>
      </c>
      <c r="D31" s="11">
        <v>320</v>
      </c>
      <c r="E31" s="7" t="s">
        <v>199</v>
      </c>
      <c r="F31" s="13">
        <v>43304</v>
      </c>
      <c r="G31" s="13" t="s">
        <v>46</v>
      </c>
      <c r="H31" s="11" t="s">
        <v>169</v>
      </c>
      <c r="I31" s="11" t="s">
        <v>24</v>
      </c>
      <c r="J31" s="11" t="s">
        <v>25</v>
      </c>
      <c r="K31" s="11">
        <v>10</v>
      </c>
      <c r="L31" s="11" t="s">
        <v>194</v>
      </c>
      <c r="M31" s="11"/>
      <c r="N31" s="14" t="s">
        <v>52</v>
      </c>
    </row>
    <row r="32" spans="1:14" x14ac:dyDescent="0.2">
      <c r="A32" s="10">
        <v>4701365898</v>
      </c>
      <c r="B32" s="11" t="s">
        <v>33</v>
      </c>
      <c r="C32" s="11" t="s">
        <v>36</v>
      </c>
      <c r="D32" s="11">
        <v>150</v>
      </c>
      <c r="E32" s="7" t="s">
        <v>199</v>
      </c>
      <c r="F32" s="13">
        <v>43304</v>
      </c>
      <c r="G32" s="13" t="s">
        <v>46</v>
      </c>
      <c r="H32" s="11" t="s">
        <v>169</v>
      </c>
      <c r="I32" s="11" t="s">
        <v>24</v>
      </c>
      <c r="J32" s="11" t="s">
        <v>25</v>
      </c>
      <c r="K32" s="11">
        <v>10</v>
      </c>
      <c r="L32" s="11" t="s">
        <v>194</v>
      </c>
      <c r="M32" s="11"/>
      <c r="N32" s="14" t="s">
        <v>37</v>
      </c>
    </row>
    <row r="33" spans="1:14" x14ac:dyDescent="0.2">
      <c r="A33" s="10"/>
      <c r="B33" s="11" t="s">
        <v>33</v>
      </c>
      <c r="C33" s="11" t="s">
        <v>53</v>
      </c>
      <c r="D33" s="11">
        <v>13</v>
      </c>
      <c r="E33" s="7" t="s">
        <v>199</v>
      </c>
      <c r="F33" s="13">
        <v>43304</v>
      </c>
      <c r="G33" s="13" t="s">
        <v>46</v>
      </c>
      <c r="H33" s="11" t="s">
        <v>169</v>
      </c>
      <c r="I33" s="11" t="s">
        <v>24</v>
      </c>
      <c r="J33" s="11" t="s">
        <v>25</v>
      </c>
      <c r="K33" s="11">
        <v>10</v>
      </c>
      <c r="L33" s="11" t="s">
        <v>194</v>
      </c>
      <c r="M33" s="11"/>
      <c r="N33" s="14" t="s">
        <v>54</v>
      </c>
    </row>
    <row r="34" spans="1:14" x14ac:dyDescent="0.2">
      <c r="A34" s="10">
        <v>4701365899</v>
      </c>
      <c r="B34" s="11" t="s">
        <v>12</v>
      </c>
      <c r="C34" s="11" t="s">
        <v>21</v>
      </c>
      <c r="D34" s="11">
        <v>30</v>
      </c>
      <c r="E34" s="7" t="s">
        <v>199</v>
      </c>
      <c r="F34" s="13">
        <v>43304</v>
      </c>
      <c r="G34" s="13" t="s">
        <v>55</v>
      </c>
      <c r="H34" s="11" t="s">
        <v>170</v>
      </c>
      <c r="I34" s="11" t="s">
        <v>24</v>
      </c>
      <c r="J34" s="11" t="s">
        <v>25</v>
      </c>
      <c r="K34" s="11">
        <v>11</v>
      </c>
      <c r="L34" s="11" t="s">
        <v>56</v>
      </c>
      <c r="M34" s="11"/>
      <c r="N34" s="14" t="s">
        <v>26</v>
      </c>
    </row>
    <row r="35" spans="1:14" x14ac:dyDescent="0.2">
      <c r="A35" s="10"/>
      <c r="B35" s="11" t="s">
        <v>12</v>
      </c>
      <c r="C35" s="11" t="s">
        <v>29</v>
      </c>
      <c r="D35" s="11">
        <v>20</v>
      </c>
      <c r="E35" s="7" t="s">
        <v>199</v>
      </c>
      <c r="F35" s="13">
        <v>43304</v>
      </c>
      <c r="G35" s="13" t="s">
        <v>55</v>
      </c>
      <c r="H35" s="11" t="s">
        <v>170</v>
      </c>
      <c r="I35" s="11" t="s">
        <v>24</v>
      </c>
      <c r="J35" s="11" t="s">
        <v>25</v>
      </c>
      <c r="K35" s="11">
        <v>11</v>
      </c>
      <c r="L35" s="11" t="s">
        <v>56</v>
      </c>
      <c r="M35" s="11"/>
      <c r="N35" s="14" t="s">
        <v>30</v>
      </c>
    </row>
    <row r="36" spans="1:14" x14ac:dyDescent="0.2">
      <c r="A36" s="10"/>
      <c r="B36" s="11" t="s">
        <v>12</v>
      </c>
      <c r="C36" s="11" t="s">
        <v>49</v>
      </c>
      <c r="D36" s="11">
        <v>23</v>
      </c>
      <c r="E36" s="7" t="s">
        <v>199</v>
      </c>
      <c r="F36" s="13">
        <v>43304</v>
      </c>
      <c r="G36" s="13" t="s">
        <v>55</v>
      </c>
      <c r="H36" s="11" t="s">
        <v>170</v>
      </c>
      <c r="I36" s="11" t="s">
        <v>24</v>
      </c>
      <c r="J36" s="11" t="s">
        <v>25</v>
      </c>
      <c r="K36" s="11">
        <v>11</v>
      </c>
      <c r="L36" s="11" t="s">
        <v>56</v>
      </c>
      <c r="M36" s="11"/>
      <c r="N36" s="14" t="s">
        <v>50</v>
      </c>
    </row>
    <row r="37" spans="1:14" x14ac:dyDescent="0.2">
      <c r="A37" s="10">
        <v>4701365900</v>
      </c>
      <c r="B37" s="11" t="s">
        <v>33</v>
      </c>
      <c r="C37" s="11" t="s">
        <v>36</v>
      </c>
      <c r="D37" s="11">
        <v>34</v>
      </c>
      <c r="E37" s="7" t="s">
        <v>199</v>
      </c>
      <c r="F37" s="13">
        <v>43304</v>
      </c>
      <c r="G37" s="13" t="s">
        <v>55</v>
      </c>
      <c r="H37" s="11" t="s">
        <v>170</v>
      </c>
      <c r="I37" s="11" t="s">
        <v>24</v>
      </c>
      <c r="J37" s="11" t="s">
        <v>25</v>
      </c>
      <c r="K37" s="11">
        <v>11</v>
      </c>
      <c r="L37" s="11" t="s">
        <v>56</v>
      </c>
      <c r="M37" s="11"/>
      <c r="N37" s="14" t="s">
        <v>37</v>
      </c>
    </row>
    <row r="38" spans="1:14" x14ac:dyDescent="0.2">
      <c r="A38" s="10"/>
      <c r="B38" s="11" t="s">
        <v>33</v>
      </c>
      <c r="C38" s="11" t="s">
        <v>53</v>
      </c>
      <c r="D38" s="11">
        <v>4</v>
      </c>
      <c r="E38" s="7" t="s">
        <v>199</v>
      </c>
      <c r="F38" s="13">
        <v>43304</v>
      </c>
      <c r="G38" s="13" t="s">
        <v>55</v>
      </c>
      <c r="H38" s="11" t="s">
        <v>170</v>
      </c>
      <c r="I38" s="11" t="s">
        <v>24</v>
      </c>
      <c r="J38" s="11" t="s">
        <v>25</v>
      </c>
      <c r="K38" s="11">
        <v>11</v>
      </c>
      <c r="L38" s="11" t="s">
        <v>56</v>
      </c>
      <c r="M38" s="11"/>
      <c r="N38" s="14" t="s">
        <v>54</v>
      </c>
    </row>
    <row r="39" spans="1:14" x14ac:dyDescent="0.2">
      <c r="A39" s="10">
        <v>4701365901</v>
      </c>
      <c r="B39" s="11" t="s">
        <v>12</v>
      </c>
      <c r="C39" s="11" t="s">
        <v>44</v>
      </c>
      <c r="D39" s="11">
        <v>18</v>
      </c>
      <c r="E39" s="7" t="s">
        <v>199</v>
      </c>
      <c r="F39" s="13">
        <v>43304</v>
      </c>
      <c r="G39" s="13" t="s">
        <v>55</v>
      </c>
      <c r="H39" s="11" t="s">
        <v>170</v>
      </c>
      <c r="I39" s="11" t="s">
        <v>16</v>
      </c>
      <c r="J39" s="11" t="s">
        <v>17</v>
      </c>
      <c r="K39" s="11">
        <v>11</v>
      </c>
      <c r="L39" s="11" t="s">
        <v>56</v>
      </c>
      <c r="M39" s="11"/>
      <c r="N39" s="14" t="s">
        <v>45</v>
      </c>
    </row>
    <row r="40" spans="1:14" x14ac:dyDescent="0.2">
      <c r="A40" s="10"/>
      <c r="B40" s="11" t="s">
        <v>12</v>
      </c>
      <c r="C40" s="11" t="s">
        <v>38</v>
      </c>
      <c r="D40" s="11">
        <v>72</v>
      </c>
      <c r="E40" s="7" t="s">
        <v>199</v>
      </c>
      <c r="F40" s="13">
        <v>43304</v>
      </c>
      <c r="G40" s="13" t="s">
        <v>55</v>
      </c>
      <c r="H40" s="11" t="s">
        <v>170</v>
      </c>
      <c r="I40" s="11" t="s">
        <v>16</v>
      </c>
      <c r="J40" s="11" t="s">
        <v>17</v>
      </c>
      <c r="K40" s="11">
        <v>11</v>
      </c>
      <c r="L40" s="11" t="s">
        <v>56</v>
      </c>
      <c r="M40" s="11"/>
      <c r="N40" s="14" t="s">
        <v>39</v>
      </c>
    </row>
    <row r="41" spans="1:14" x14ac:dyDescent="0.2">
      <c r="A41" s="10"/>
      <c r="B41" s="11" t="s">
        <v>12</v>
      </c>
      <c r="C41" s="11" t="s">
        <v>19</v>
      </c>
      <c r="D41" s="11">
        <v>300</v>
      </c>
      <c r="E41" s="7" t="s">
        <v>199</v>
      </c>
      <c r="F41" s="13">
        <v>43304</v>
      </c>
      <c r="G41" s="13" t="s">
        <v>55</v>
      </c>
      <c r="H41" s="11" t="s">
        <v>170</v>
      </c>
      <c r="I41" s="11" t="s">
        <v>16</v>
      </c>
      <c r="J41" s="11" t="s">
        <v>17</v>
      </c>
      <c r="K41" s="11">
        <v>11</v>
      </c>
      <c r="L41" s="11" t="s">
        <v>56</v>
      </c>
      <c r="M41" s="11"/>
      <c r="N41" s="14" t="s">
        <v>20</v>
      </c>
    </row>
    <row r="42" spans="1:14" x14ac:dyDescent="0.2">
      <c r="A42" s="10"/>
      <c r="B42" s="11" t="s">
        <v>12</v>
      </c>
      <c r="C42" s="11" t="s">
        <v>57</v>
      </c>
      <c r="D42" s="11">
        <v>60</v>
      </c>
      <c r="E42" s="7" t="s">
        <v>199</v>
      </c>
      <c r="F42" s="13">
        <v>43304</v>
      </c>
      <c r="G42" s="13" t="s">
        <v>55</v>
      </c>
      <c r="H42" s="11" t="s">
        <v>170</v>
      </c>
      <c r="I42" s="11" t="s">
        <v>16</v>
      </c>
      <c r="J42" s="11" t="s">
        <v>17</v>
      </c>
      <c r="K42" s="11">
        <v>11</v>
      </c>
      <c r="L42" s="11" t="s">
        <v>56</v>
      </c>
      <c r="M42" s="11"/>
      <c r="N42" s="14" t="s">
        <v>58</v>
      </c>
    </row>
    <row r="43" spans="1:14" x14ac:dyDescent="0.2">
      <c r="A43" s="10"/>
      <c r="B43" s="11" t="s">
        <v>12</v>
      </c>
      <c r="C43" s="11" t="s">
        <v>42</v>
      </c>
      <c r="D43" s="11">
        <v>120</v>
      </c>
      <c r="E43" s="7" t="s">
        <v>199</v>
      </c>
      <c r="F43" s="13">
        <v>43304</v>
      </c>
      <c r="G43" s="13" t="s">
        <v>55</v>
      </c>
      <c r="H43" s="11" t="s">
        <v>170</v>
      </c>
      <c r="I43" s="11" t="s">
        <v>16</v>
      </c>
      <c r="J43" s="11" t="s">
        <v>17</v>
      </c>
      <c r="K43" s="11">
        <v>11</v>
      </c>
      <c r="L43" s="11" t="s">
        <v>56</v>
      </c>
      <c r="M43" s="11"/>
      <c r="N43" s="14" t="s">
        <v>43</v>
      </c>
    </row>
    <row r="44" spans="1:14" x14ac:dyDescent="0.2">
      <c r="A44" s="10">
        <v>4701365902</v>
      </c>
      <c r="B44" s="11" t="s">
        <v>12</v>
      </c>
      <c r="C44" s="11" t="s">
        <v>21</v>
      </c>
      <c r="D44" s="11">
        <v>20</v>
      </c>
      <c r="E44" s="7" t="s">
        <v>199</v>
      </c>
      <c r="F44" s="13">
        <v>43304</v>
      </c>
      <c r="G44" s="13" t="s">
        <v>59</v>
      </c>
      <c r="H44" s="11" t="s">
        <v>171</v>
      </c>
      <c r="I44" s="11" t="s">
        <v>24</v>
      </c>
      <c r="J44" s="11" t="s">
        <v>25</v>
      </c>
      <c r="K44" s="11">
        <v>12</v>
      </c>
      <c r="L44" s="11" t="s">
        <v>56</v>
      </c>
      <c r="M44" s="11"/>
      <c r="N44" s="14" t="s">
        <v>26</v>
      </c>
    </row>
    <row r="45" spans="1:14" x14ac:dyDescent="0.2">
      <c r="A45" s="10"/>
      <c r="B45" s="11" t="s">
        <v>12</v>
      </c>
      <c r="C45" s="11" t="s">
        <v>29</v>
      </c>
      <c r="D45" s="11">
        <v>10</v>
      </c>
      <c r="E45" s="7" t="s">
        <v>199</v>
      </c>
      <c r="F45" s="13">
        <v>43304</v>
      </c>
      <c r="G45" s="13" t="s">
        <v>59</v>
      </c>
      <c r="H45" s="11" t="s">
        <v>171</v>
      </c>
      <c r="I45" s="11" t="s">
        <v>24</v>
      </c>
      <c r="J45" s="11" t="s">
        <v>25</v>
      </c>
      <c r="K45" s="11">
        <v>12</v>
      </c>
      <c r="L45" s="11" t="s">
        <v>56</v>
      </c>
      <c r="M45" s="11"/>
      <c r="N45" s="14" t="s">
        <v>30</v>
      </c>
    </row>
    <row r="46" spans="1:14" x14ac:dyDescent="0.2">
      <c r="A46" s="10">
        <v>4701365903</v>
      </c>
      <c r="B46" s="11" t="s">
        <v>33</v>
      </c>
      <c r="C46" s="11" t="s">
        <v>36</v>
      </c>
      <c r="D46" s="11">
        <v>9</v>
      </c>
      <c r="E46" s="7" t="s">
        <v>199</v>
      </c>
      <c r="F46" s="13">
        <v>43304</v>
      </c>
      <c r="G46" s="13" t="s">
        <v>59</v>
      </c>
      <c r="H46" s="11" t="s">
        <v>171</v>
      </c>
      <c r="I46" s="11" t="s">
        <v>24</v>
      </c>
      <c r="J46" s="11" t="s">
        <v>25</v>
      </c>
      <c r="K46" s="11">
        <v>12</v>
      </c>
      <c r="L46" s="11" t="s">
        <v>56</v>
      </c>
      <c r="M46" s="11"/>
      <c r="N46" s="14" t="s">
        <v>37</v>
      </c>
    </row>
    <row r="47" spans="1:14" x14ac:dyDescent="0.2">
      <c r="A47" s="10"/>
      <c r="B47" s="11" t="s">
        <v>33</v>
      </c>
      <c r="C47" s="11" t="s">
        <v>53</v>
      </c>
      <c r="D47" s="11">
        <v>1</v>
      </c>
      <c r="E47" s="7" t="s">
        <v>199</v>
      </c>
      <c r="F47" s="13">
        <v>43304</v>
      </c>
      <c r="G47" s="13" t="s">
        <v>59</v>
      </c>
      <c r="H47" s="11" t="s">
        <v>171</v>
      </c>
      <c r="I47" s="11" t="s">
        <v>24</v>
      </c>
      <c r="J47" s="11" t="s">
        <v>25</v>
      </c>
      <c r="K47" s="11">
        <v>12</v>
      </c>
      <c r="L47" s="11" t="s">
        <v>56</v>
      </c>
      <c r="M47" s="11"/>
      <c r="N47" s="14" t="s">
        <v>54</v>
      </c>
    </row>
    <row r="48" spans="1:14" x14ac:dyDescent="0.2">
      <c r="A48" s="10">
        <v>4701365904</v>
      </c>
      <c r="B48" s="11" t="s">
        <v>12</v>
      </c>
      <c r="C48" s="11" t="s">
        <v>44</v>
      </c>
      <c r="D48" s="11">
        <v>7</v>
      </c>
      <c r="E48" s="7" t="s">
        <v>199</v>
      </c>
      <c r="F48" s="13">
        <v>43304</v>
      </c>
      <c r="G48" s="13" t="s">
        <v>59</v>
      </c>
      <c r="H48" s="11" t="s">
        <v>171</v>
      </c>
      <c r="I48" s="11" t="s">
        <v>16</v>
      </c>
      <c r="J48" s="11" t="s">
        <v>17</v>
      </c>
      <c r="K48" s="11">
        <v>12</v>
      </c>
      <c r="L48" s="11" t="s">
        <v>56</v>
      </c>
      <c r="M48" s="11"/>
      <c r="N48" s="14" t="s">
        <v>45</v>
      </c>
    </row>
    <row r="49" spans="1:14" x14ac:dyDescent="0.2">
      <c r="A49" s="10"/>
      <c r="B49" s="11" t="s">
        <v>12</v>
      </c>
      <c r="C49" s="11" t="s">
        <v>38</v>
      </c>
      <c r="D49" s="11">
        <v>90</v>
      </c>
      <c r="E49" s="7" t="s">
        <v>199</v>
      </c>
      <c r="F49" s="13">
        <v>43304</v>
      </c>
      <c r="G49" s="13" t="s">
        <v>59</v>
      </c>
      <c r="H49" s="11" t="s">
        <v>171</v>
      </c>
      <c r="I49" s="11" t="s">
        <v>16</v>
      </c>
      <c r="J49" s="11" t="s">
        <v>17</v>
      </c>
      <c r="K49" s="11">
        <v>12</v>
      </c>
      <c r="L49" s="11" t="s">
        <v>56</v>
      </c>
      <c r="M49" s="11"/>
      <c r="N49" s="14" t="s">
        <v>39</v>
      </c>
    </row>
    <row r="50" spans="1:14" x14ac:dyDescent="0.2">
      <c r="A50" s="10"/>
      <c r="B50" s="11" t="s">
        <v>12</v>
      </c>
      <c r="C50" s="11" t="s">
        <v>19</v>
      </c>
      <c r="D50" s="11">
        <v>420</v>
      </c>
      <c r="E50" s="7" t="s">
        <v>199</v>
      </c>
      <c r="F50" s="13">
        <v>43304</v>
      </c>
      <c r="G50" s="13" t="s">
        <v>59</v>
      </c>
      <c r="H50" s="11" t="s">
        <v>171</v>
      </c>
      <c r="I50" s="11" t="s">
        <v>16</v>
      </c>
      <c r="J50" s="11" t="s">
        <v>17</v>
      </c>
      <c r="K50" s="11">
        <v>12</v>
      </c>
      <c r="L50" s="11" t="s">
        <v>56</v>
      </c>
      <c r="M50" s="11"/>
      <c r="N50" s="14" t="s">
        <v>20</v>
      </c>
    </row>
    <row r="51" spans="1:14" x14ac:dyDescent="0.2">
      <c r="A51" s="10"/>
      <c r="B51" s="11" t="s">
        <v>12</v>
      </c>
      <c r="C51" s="11" t="s">
        <v>57</v>
      </c>
      <c r="D51" s="11">
        <v>40</v>
      </c>
      <c r="E51" s="7" t="s">
        <v>199</v>
      </c>
      <c r="F51" s="13">
        <v>43304</v>
      </c>
      <c r="G51" s="13" t="s">
        <v>59</v>
      </c>
      <c r="H51" s="11" t="s">
        <v>171</v>
      </c>
      <c r="I51" s="11" t="s">
        <v>16</v>
      </c>
      <c r="J51" s="11" t="s">
        <v>17</v>
      </c>
      <c r="K51" s="11">
        <v>12</v>
      </c>
      <c r="L51" s="11" t="s">
        <v>56</v>
      </c>
      <c r="M51" s="11"/>
      <c r="N51" s="14" t="s">
        <v>58</v>
      </c>
    </row>
    <row r="52" spans="1:14" x14ac:dyDescent="0.2">
      <c r="A52" s="10"/>
      <c r="B52" s="11" t="s">
        <v>12</v>
      </c>
      <c r="C52" s="11" t="s">
        <v>42</v>
      </c>
      <c r="D52" s="11">
        <v>120</v>
      </c>
      <c r="E52" s="7" t="s">
        <v>199</v>
      </c>
      <c r="F52" s="13">
        <v>43304</v>
      </c>
      <c r="G52" s="13" t="s">
        <v>59</v>
      </c>
      <c r="H52" s="11" t="s">
        <v>171</v>
      </c>
      <c r="I52" s="11" t="s">
        <v>16</v>
      </c>
      <c r="J52" s="11" t="s">
        <v>17</v>
      </c>
      <c r="K52" s="11">
        <v>12</v>
      </c>
      <c r="L52" s="11" t="s">
        <v>56</v>
      </c>
      <c r="M52" s="11"/>
      <c r="N52" s="14" t="s">
        <v>43</v>
      </c>
    </row>
    <row r="53" spans="1:14" ht="12.75" customHeight="1" x14ac:dyDescent="0.2">
      <c r="A53" s="10">
        <v>4701365905</v>
      </c>
      <c r="B53" s="11" t="s">
        <v>12</v>
      </c>
      <c r="C53" s="11" t="s">
        <v>47</v>
      </c>
      <c r="D53" s="11">
        <v>10</v>
      </c>
      <c r="E53" s="7" t="s">
        <v>199</v>
      </c>
      <c r="F53" s="13">
        <v>43304</v>
      </c>
      <c r="G53" s="13" t="s">
        <v>60</v>
      </c>
      <c r="H53" s="11" t="s">
        <v>159</v>
      </c>
      <c r="I53" s="11" t="s">
        <v>24</v>
      </c>
      <c r="J53" s="11" t="s">
        <v>25</v>
      </c>
      <c r="K53" s="11">
        <v>13</v>
      </c>
      <c r="L53" s="11" t="s">
        <v>56</v>
      </c>
      <c r="M53" s="11" t="s">
        <v>61</v>
      </c>
      <c r="N53" s="14" t="s">
        <v>48</v>
      </c>
    </row>
    <row r="54" spans="1:14" x14ac:dyDescent="0.2">
      <c r="A54" s="10"/>
      <c r="B54" s="11" t="s">
        <v>12</v>
      </c>
      <c r="C54" s="11" t="s">
        <v>31</v>
      </c>
      <c r="D54" s="11">
        <v>3</v>
      </c>
      <c r="E54" s="7" t="s">
        <v>199</v>
      </c>
      <c r="F54" s="13">
        <v>43304</v>
      </c>
      <c r="G54" s="13" t="s">
        <v>60</v>
      </c>
      <c r="H54" s="11" t="s">
        <v>159</v>
      </c>
      <c r="I54" s="11" t="s">
        <v>24</v>
      </c>
      <c r="J54" s="11" t="s">
        <v>25</v>
      </c>
      <c r="K54" s="11">
        <v>13</v>
      </c>
      <c r="L54" s="11" t="s">
        <v>56</v>
      </c>
      <c r="M54" s="11" t="s">
        <v>61</v>
      </c>
      <c r="N54" s="14" t="s">
        <v>32</v>
      </c>
    </row>
    <row r="55" spans="1:14" x14ac:dyDescent="0.2">
      <c r="A55" s="10">
        <v>4701365906</v>
      </c>
      <c r="B55" s="11" t="s">
        <v>33</v>
      </c>
      <c r="C55" s="11" t="s">
        <v>34</v>
      </c>
      <c r="D55" s="11">
        <v>40</v>
      </c>
      <c r="E55" s="7" t="s">
        <v>199</v>
      </c>
      <c r="F55" s="13">
        <v>43304</v>
      </c>
      <c r="G55" s="13" t="s">
        <v>60</v>
      </c>
      <c r="H55" s="11" t="s">
        <v>159</v>
      </c>
      <c r="I55" s="11" t="s">
        <v>24</v>
      </c>
      <c r="J55" s="11" t="s">
        <v>25</v>
      </c>
      <c r="K55" s="11">
        <v>13</v>
      </c>
      <c r="L55" s="11" t="s">
        <v>56</v>
      </c>
      <c r="M55" s="11" t="s">
        <v>61</v>
      </c>
      <c r="N55" s="14" t="s">
        <v>35</v>
      </c>
    </row>
    <row r="56" spans="1:14" x14ac:dyDescent="0.2">
      <c r="A56" s="10"/>
      <c r="B56" s="11" t="s">
        <v>33</v>
      </c>
      <c r="C56" s="11" t="s">
        <v>36</v>
      </c>
      <c r="D56" s="11">
        <v>20</v>
      </c>
      <c r="E56" s="7" t="s">
        <v>199</v>
      </c>
      <c r="F56" s="13">
        <v>43304</v>
      </c>
      <c r="G56" s="13" t="s">
        <v>60</v>
      </c>
      <c r="H56" s="11" t="s">
        <v>159</v>
      </c>
      <c r="I56" s="11" t="s">
        <v>24</v>
      </c>
      <c r="J56" s="11" t="s">
        <v>25</v>
      </c>
      <c r="K56" s="11">
        <v>13</v>
      </c>
      <c r="L56" s="11" t="s">
        <v>56</v>
      </c>
      <c r="M56" s="11" t="s">
        <v>61</v>
      </c>
      <c r="N56" s="14" t="s">
        <v>37</v>
      </c>
    </row>
    <row r="57" spans="1:14" x14ac:dyDescent="0.2">
      <c r="A57" s="10"/>
      <c r="B57" s="11" t="s">
        <v>33</v>
      </c>
      <c r="C57" s="11" t="s">
        <v>53</v>
      </c>
      <c r="D57" s="11">
        <v>20</v>
      </c>
      <c r="E57" s="7" t="s">
        <v>199</v>
      </c>
      <c r="F57" s="13">
        <v>43304</v>
      </c>
      <c r="G57" s="13" t="s">
        <v>60</v>
      </c>
      <c r="H57" s="11" t="s">
        <v>159</v>
      </c>
      <c r="I57" s="11" t="s">
        <v>24</v>
      </c>
      <c r="J57" s="11" t="s">
        <v>25</v>
      </c>
      <c r="K57" s="11">
        <v>13</v>
      </c>
      <c r="L57" s="11" t="s">
        <v>56</v>
      </c>
      <c r="M57" s="11" t="s">
        <v>61</v>
      </c>
      <c r="N57" s="14" t="s">
        <v>54</v>
      </c>
    </row>
    <row r="58" spans="1:14" x14ac:dyDescent="0.2">
      <c r="A58" s="10">
        <v>4701365907</v>
      </c>
      <c r="B58" s="11" t="s">
        <v>12</v>
      </c>
      <c r="C58" s="11" t="s">
        <v>38</v>
      </c>
      <c r="D58" s="11">
        <v>48</v>
      </c>
      <c r="E58" s="7" t="s">
        <v>199</v>
      </c>
      <c r="F58" s="13">
        <v>43304</v>
      </c>
      <c r="G58" s="13" t="s">
        <v>60</v>
      </c>
      <c r="H58" s="11" t="s">
        <v>159</v>
      </c>
      <c r="I58" s="11" t="s">
        <v>16</v>
      </c>
      <c r="J58" s="11" t="s">
        <v>17</v>
      </c>
      <c r="K58" s="11">
        <v>13</v>
      </c>
      <c r="L58" s="11" t="s">
        <v>56</v>
      </c>
      <c r="M58" s="11" t="s">
        <v>61</v>
      </c>
      <c r="N58" s="14" t="s">
        <v>39</v>
      </c>
    </row>
    <row r="59" spans="1:14" x14ac:dyDescent="0.2">
      <c r="A59" s="10"/>
      <c r="B59" s="11" t="s">
        <v>12</v>
      </c>
      <c r="C59" s="11" t="s">
        <v>19</v>
      </c>
      <c r="D59" s="11">
        <v>270</v>
      </c>
      <c r="E59" s="7" t="s">
        <v>199</v>
      </c>
      <c r="F59" s="13">
        <v>43304</v>
      </c>
      <c r="G59" s="13" t="s">
        <v>60</v>
      </c>
      <c r="H59" s="11" t="s">
        <v>159</v>
      </c>
      <c r="I59" s="11" t="s">
        <v>16</v>
      </c>
      <c r="J59" s="11" t="s">
        <v>17</v>
      </c>
      <c r="K59" s="11">
        <v>13</v>
      </c>
      <c r="L59" s="11" t="s">
        <v>56</v>
      </c>
      <c r="M59" s="11" t="s">
        <v>61</v>
      </c>
      <c r="N59" s="14" t="s">
        <v>20</v>
      </c>
    </row>
    <row r="60" spans="1:14" x14ac:dyDescent="0.2">
      <c r="A60" s="10"/>
      <c r="B60" s="11" t="s">
        <v>12</v>
      </c>
      <c r="C60" s="11" t="s">
        <v>57</v>
      </c>
      <c r="D60" s="11">
        <v>60</v>
      </c>
      <c r="E60" s="7" t="s">
        <v>199</v>
      </c>
      <c r="F60" s="13">
        <v>43304</v>
      </c>
      <c r="G60" s="13" t="s">
        <v>60</v>
      </c>
      <c r="H60" s="11" t="s">
        <v>159</v>
      </c>
      <c r="I60" s="11" t="s">
        <v>16</v>
      </c>
      <c r="J60" s="11" t="s">
        <v>17</v>
      </c>
      <c r="K60" s="11">
        <v>13</v>
      </c>
      <c r="L60" s="11" t="s">
        <v>56</v>
      </c>
      <c r="M60" s="11" t="s">
        <v>61</v>
      </c>
      <c r="N60" s="17" t="s">
        <v>58</v>
      </c>
    </row>
    <row r="61" spans="1:14" x14ac:dyDescent="0.2">
      <c r="A61" s="10">
        <v>4701365908</v>
      </c>
      <c r="B61" s="11" t="s">
        <v>12</v>
      </c>
      <c r="C61" s="11" t="s">
        <v>13</v>
      </c>
      <c r="D61" s="11">
        <v>6</v>
      </c>
      <c r="E61" s="7" t="s">
        <v>199</v>
      </c>
      <c r="F61" s="13">
        <v>43304</v>
      </c>
      <c r="G61" s="13" t="s">
        <v>62</v>
      </c>
      <c r="H61" s="11" t="s">
        <v>172</v>
      </c>
      <c r="I61" s="11" t="s">
        <v>16</v>
      </c>
      <c r="J61" s="11" t="s">
        <v>17</v>
      </c>
      <c r="K61" s="11">
        <v>13</v>
      </c>
      <c r="L61" s="11" t="s">
        <v>56</v>
      </c>
      <c r="M61" s="11" t="s">
        <v>61</v>
      </c>
      <c r="N61" s="18" t="s">
        <v>18</v>
      </c>
    </row>
    <row r="62" spans="1:14" x14ac:dyDescent="0.2">
      <c r="A62" s="10"/>
      <c r="B62" s="11" t="s">
        <v>12</v>
      </c>
      <c r="C62" s="11" t="s">
        <v>19</v>
      </c>
      <c r="D62" s="11">
        <v>120</v>
      </c>
      <c r="E62" s="7" t="s">
        <v>199</v>
      </c>
      <c r="F62" s="13">
        <v>43304</v>
      </c>
      <c r="G62" s="13" t="s">
        <v>62</v>
      </c>
      <c r="H62" s="11" t="s">
        <v>172</v>
      </c>
      <c r="I62" s="11" t="s">
        <v>16</v>
      </c>
      <c r="J62" s="11" t="s">
        <v>17</v>
      </c>
      <c r="K62" s="11">
        <v>13</v>
      </c>
      <c r="L62" s="11" t="s">
        <v>56</v>
      </c>
      <c r="M62" s="11" t="s">
        <v>61</v>
      </c>
      <c r="N62" s="14" t="s">
        <v>20</v>
      </c>
    </row>
    <row r="63" spans="1:14" x14ac:dyDescent="0.2">
      <c r="A63" s="10"/>
      <c r="B63" s="11" t="s">
        <v>12</v>
      </c>
      <c r="C63" s="11" t="s">
        <v>42</v>
      </c>
      <c r="D63" s="11">
        <v>120</v>
      </c>
      <c r="E63" s="7" t="s">
        <v>199</v>
      </c>
      <c r="F63" s="13">
        <v>43304</v>
      </c>
      <c r="G63" s="13" t="s">
        <v>62</v>
      </c>
      <c r="H63" s="11" t="s">
        <v>172</v>
      </c>
      <c r="I63" s="11" t="s">
        <v>16</v>
      </c>
      <c r="J63" s="11" t="s">
        <v>17</v>
      </c>
      <c r="K63" s="11">
        <v>13</v>
      </c>
      <c r="L63" s="11" t="s">
        <v>56</v>
      </c>
      <c r="M63" s="11" t="s">
        <v>61</v>
      </c>
      <c r="N63" s="14" t="s">
        <v>43</v>
      </c>
    </row>
    <row r="64" spans="1:14" x14ac:dyDescent="0.2">
      <c r="A64" s="10">
        <v>4701365909</v>
      </c>
      <c r="B64" s="11" t="s">
        <v>12</v>
      </c>
      <c r="C64" s="11" t="s">
        <v>29</v>
      </c>
      <c r="D64" s="11">
        <v>20</v>
      </c>
      <c r="E64" s="7" t="s">
        <v>199</v>
      </c>
      <c r="F64" s="13">
        <v>43304</v>
      </c>
      <c r="G64" s="13" t="s">
        <v>63</v>
      </c>
      <c r="H64" s="11" t="s">
        <v>174</v>
      </c>
      <c r="I64" s="11" t="s">
        <v>24</v>
      </c>
      <c r="J64" s="11" t="s">
        <v>25</v>
      </c>
      <c r="K64" s="11">
        <v>14</v>
      </c>
      <c r="L64" s="11" t="s">
        <v>56</v>
      </c>
      <c r="M64" s="11" t="s">
        <v>64</v>
      </c>
      <c r="N64" s="14" t="s">
        <v>30</v>
      </c>
    </row>
    <row r="65" spans="1:14" x14ac:dyDescent="0.2">
      <c r="A65" s="10">
        <v>4701365910</v>
      </c>
      <c r="B65" s="11" t="s">
        <v>33</v>
      </c>
      <c r="C65" s="11" t="s">
        <v>36</v>
      </c>
      <c r="D65" s="11">
        <v>20</v>
      </c>
      <c r="E65" s="7" t="s">
        <v>199</v>
      </c>
      <c r="F65" s="13">
        <v>43304</v>
      </c>
      <c r="G65" s="13" t="s">
        <v>63</v>
      </c>
      <c r="H65" s="11" t="s">
        <v>174</v>
      </c>
      <c r="I65" s="11" t="s">
        <v>24</v>
      </c>
      <c r="J65" s="11" t="s">
        <v>25</v>
      </c>
      <c r="K65" s="11">
        <v>14</v>
      </c>
      <c r="L65" s="11" t="s">
        <v>56</v>
      </c>
      <c r="M65" s="11" t="s">
        <v>64</v>
      </c>
      <c r="N65" s="14" t="s">
        <v>37</v>
      </c>
    </row>
    <row r="66" spans="1:14" x14ac:dyDescent="0.2">
      <c r="A66" s="10">
        <v>4701365911</v>
      </c>
      <c r="B66" s="11" t="s">
        <v>12</v>
      </c>
      <c r="C66" s="11" t="s">
        <v>38</v>
      </c>
      <c r="D66" s="11">
        <v>48</v>
      </c>
      <c r="E66" s="7" t="s">
        <v>199</v>
      </c>
      <c r="F66" s="13">
        <v>43304</v>
      </c>
      <c r="G66" s="13" t="s">
        <v>63</v>
      </c>
      <c r="H66" s="11" t="s">
        <v>174</v>
      </c>
      <c r="I66" s="11" t="s">
        <v>16</v>
      </c>
      <c r="J66" s="11" t="s">
        <v>17</v>
      </c>
      <c r="K66" s="11">
        <v>14</v>
      </c>
      <c r="L66" s="11" t="s">
        <v>56</v>
      </c>
      <c r="M66" s="11" t="s">
        <v>64</v>
      </c>
      <c r="N66" s="14" t="s">
        <v>39</v>
      </c>
    </row>
    <row r="67" spans="1:14" x14ac:dyDescent="0.2">
      <c r="A67" s="10"/>
      <c r="B67" s="11" t="s">
        <v>12</v>
      </c>
      <c r="C67" s="11" t="s">
        <v>19</v>
      </c>
      <c r="D67" s="11">
        <v>180</v>
      </c>
      <c r="E67" s="7" t="s">
        <v>199</v>
      </c>
      <c r="F67" s="13">
        <v>43304</v>
      </c>
      <c r="G67" s="13" t="s">
        <v>63</v>
      </c>
      <c r="H67" s="11" t="s">
        <v>174</v>
      </c>
      <c r="I67" s="11" t="s">
        <v>16</v>
      </c>
      <c r="J67" s="11" t="s">
        <v>17</v>
      </c>
      <c r="K67" s="11">
        <v>14</v>
      </c>
      <c r="L67" s="11" t="s">
        <v>56</v>
      </c>
      <c r="M67" s="11" t="s">
        <v>64</v>
      </c>
      <c r="N67" s="14" t="s">
        <v>20</v>
      </c>
    </row>
    <row r="68" spans="1:14" x14ac:dyDescent="0.2">
      <c r="A68" s="10"/>
      <c r="B68" s="11" t="s">
        <v>12</v>
      </c>
      <c r="C68" s="11" t="s">
        <v>65</v>
      </c>
      <c r="D68" s="11">
        <v>3</v>
      </c>
      <c r="E68" s="7" t="s">
        <v>199</v>
      </c>
      <c r="F68" s="13">
        <v>43304</v>
      </c>
      <c r="G68" s="13" t="s">
        <v>63</v>
      </c>
      <c r="H68" s="11" t="s">
        <v>174</v>
      </c>
      <c r="I68" s="11" t="s">
        <v>16</v>
      </c>
      <c r="J68" s="11" t="s">
        <v>17</v>
      </c>
      <c r="K68" s="11">
        <v>14</v>
      </c>
      <c r="L68" s="11" t="s">
        <v>56</v>
      </c>
      <c r="M68" s="11" t="s">
        <v>64</v>
      </c>
      <c r="N68" s="14" t="s">
        <v>66</v>
      </c>
    </row>
    <row r="69" spans="1:14" x14ac:dyDescent="0.2">
      <c r="A69" s="10"/>
      <c r="B69" s="11" t="s">
        <v>12</v>
      </c>
      <c r="C69" s="11" t="s">
        <v>40</v>
      </c>
      <c r="D69" s="11">
        <v>15</v>
      </c>
      <c r="E69" s="7" t="s">
        <v>199</v>
      </c>
      <c r="F69" s="13">
        <v>43304</v>
      </c>
      <c r="G69" s="13" t="s">
        <v>63</v>
      </c>
      <c r="H69" s="11" t="s">
        <v>174</v>
      </c>
      <c r="I69" s="11" t="s">
        <v>16</v>
      </c>
      <c r="J69" s="11" t="s">
        <v>17</v>
      </c>
      <c r="K69" s="11">
        <v>14</v>
      </c>
      <c r="L69" s="11" t="s">
        <v>56</v>
      </c>
      <c r="M69" s="11" t="s">
        <v>64</v>
      </c>
      <c r="N69" s="14" t="s">
        <v>41</v>
      </c>
    </row>
    <row r="70" spans="1:14" x14ac:dyDescent="0.2">
      <c r="A70" s="10"/>
      <c r="B70" s="11" t="s">
        <v>12</v>
      </c>
      <c r="C70" s="11" t="s">
        <v>57</v>
      </c>
      <c r="D70" s="11">
        <v>100</v>
      </c>
      <c r="E70" s="7" t="s">
        <v>199</v>
      </c>
      <c r="F70" s="13">
        <v>43304</v>
      </c>
      <c r="G70" s="13" t="s">
        <v>63</v>
      </c>
      <c r="H70" s="11" t="s">
        <v>174</v>
      </c>
      <c r="I70" s="11" t="s">
        <v>16</v>
      </c>
      <c r="J70" s="11" t="s">
        <v>17</v>
      </c>
      <c r="K70" s="11">
        <v>14</v>
      </c>
      <c r="L70" s="11" t="s">
        <v>56</v>
      </c>
      <c r="M70" s="11" t="s">
        <v>64</v>
      </c>
      <c r="N70" s="14" t="s">
        <v>58</v>
      </c>
    </row>
    <row r="71" spans="1:14" x14ac:dyDescent="0.2">
      <c r="A71" s="10">
        <v>4701365912</v>
      </c>
      <c r="B71" s="11" t="s">
        <v>12</v>
      </c>
      <c r="C71" s="11" t="s">
        <v>29</v>
      </c>
      <c r="D71" s="11">
        <v>15</v>
      </c>
      <c r="E71" s="7" t="s">
        <v>199</v>
      </c>
      <c r="F71" s="13">
        <v>43304</v>
      </c>
      <c r="G71" s="13" t="s">
        <v>67</v>
      </c>
      <c r="H71" s="11" t="s">
        <v>175</v>
      </c>
      <c r="I71" s="11" t="s">
        <v>24</v>
      </c>
      <c r="J71" s="11" t="s">
        <v>25</v>
      </c>
      <c r="K71" s="11">
        <v>14</v>
      </c>
      <c r="L71" s="11" t="s">
        <v>56</v>
      </c>
      <c r="M71" s="11" t="s">
        <v>64</v>
      </c>
      <c r="N71" s="14" t="s">
        <v>30</v>
      </c>
    </row>
    <row r="72" spans="1:14" x14ac:dyDescent="0.2">
      <c r="A72" s="10"/>
      <c r="B72" s="11" t="s">
        <v>12</v>
      </c>
      <c r="C72" s="11" t="s">
        <v>49</v>
      </c>
      <c r="D72" s="11">
        <v>30</v>
      </c>
      <c r="E72" s="7" t="s">
        <v>199</v>
      </c>
      <c r="F72" s="13">
        <v>43304</v>
      </c>
      <c r="G72" s="13" t="s">
        <v>67</v>
      </c>
      <c r="H72" s="11" t="s">
        <v>175</v>
      </c>
      <c r="I72" s="11" t="s">
        <v>24</v>
      </c>
      <c r="J72" s="11" t="s">
        <v>25</v>
      </c>
      <c r="K72" s="11">
        <v>14</v>
      </c>
      <c r="L72" s="11" t="s">
        <v>56</v>
      </c>
      <c r="M72" s="11" t="s">
        <v>64</v>
      </c>
      <c r="N72" s="14" t="s">
        <v>50</v>
      </c>
    </row>
    <row r="73" spans="1:14" x14ac:dyDescent="0.2">
      <c r="A73" s="10">
        <v>4701365913</v>
      </c>
      <c r="B73" s="11" t="s">
        <v>33</v>
      </c>
      <c r="C73" s="11" t="s">
        <v>53</v>
      </c>
      <c r="D73" s="11">
        <v>2</v>
      </c>
      <c r="E73" s="7" t="s">
        <v>199</v>
      </c>
      <c r="F73" s="13">
        <v>43304</v>
      </c>
      <c r="G73" s="13" t="s">
        <v>67</v>
      </c>
      <c r="H73" s="11" t="s">
        <v>175</v>
      </c>
      <c r="I73" s="11" t="s">
        <v>24</v>
      </c>
      <c r="J73" s="11" t="s">
        <v>25</v>
      </c>
      <c r="K73" s="11">
        <v>14</v>
      </c>
      <c r="L73" s="11" t="s">
        <v>56</v>
      </c>
      <c r="M73" s="11" t="s">
        <v>64</v>
      </c>
      <c r="N73" s="14" t="s">
        <v>54</v>
      </c>
    </row>
    <row r="74" spans="1:14" x14ac:dyDescent="0.2">
      <c r="A74" s="10">
        <v>4701365914</v>
      </c>
      <c r="B74" s="11" t="s">
        <v>12</v>
      </c>
      <c r="C74" s="11" t="s">
        <v>44</v>
      </c>
      <c r="D74" s="11">
        <v>16</v>
      </c>
      <c r="E74" s="7" t="s">
        <v>199</v>
      </c>
      <c r="F74" s="13">
        <v>43304</v>
      </c>
      <c r="G74" s="13" t="s">
        <v>67</v>
      </c>
      <c r="H74" s="11" t="s">
        <v>175</v>
      </c>
      <c r="I74" s="11" t="s">
        <v>16</v>
      </c>
      <c r="J74" s="11" t="s">
        <v>17</v>
      </c>
      <c r="K74" s="11">
        <v>14</v>
      </c>
      <c r="L74" s="11" t="s">
        <v>56</v>
      </c>
      <c r="M74" s="11" t="s">
        <v>64</v>
      </c>
      <c r="N74" s="14" t="s">
        <v>45</v>
      </c>
    </row>
    <row r="75" spans="1:14" x14ac:dyDescent="0.2">
      <c r="A75" s="10"/>
      <c r="B75" s="11" t="s">
        <v>12</v>
      </c>
      <c r="C75" s="11" t="s">
        <v>47</v>
      </c>
      <c r="D75" s="11">
        <v>1</v>
      </c>
      <c r="E75" s="9" t="s">
        <v>199</v>
      </c>
      <c r="F75" s="13">
        <v>43304</v>
      </c>
      <c r="G75" s="13" t="s">
        <v>67</v>
      </c>
      <c r="H75" s="11" t="s">
        <v>175</v>
      </c>
      <c r="I75" s="11" t="s">
        <v>16</v>
      </c>
      <c r="J75" s="11" t="s">
        <v>17</v>
      </c>
      <c r="K75" s="11">
        <v>14</v>
      </c>
      <c r="L75" s="11" t="s">
        <v>56</v>
      </c>
      <c r="M75" s="11" t="s">
        <v>64</v>
      </c>
      <c r="N75" s="14" t="s">
        <v>48</v>
      </c>
    </row>
    <row r="76" spans="1:14" x14ac:dyDescent="0.2">
      <c r="A76" s="10"/>
      <c r="B76" s="11" t="s">
        <v>12</v>
      </c>
      <c r="C76" s="11" t="s">
        <v>38</v>
      </c>
      <c r="D76" s="11">
        <v>48</v>
      </c>
      <c r="E76" s="9" t="s">
        <v>199</v>
      </c>
      <c r="F76" s="13">
        <v>43304</v>
      </c>
      <c r="G76" s="13" t="s">
        <v>67</v>
      </c>
      <c r="H76" s="11" t="s">
        <v>175</v>
      </c>
      <c r="I76" s="11" t="s">
        <v>16</v>
      </c>
      <c r="J76" s="11" t="s">
        <v>17</v>
      </c>
      <c r="K76" s="11">
        <v>14</v>
      </c>
      <c r="L76" s="11" t="s">
        <v>56</v>
      </c>
      <c r="M76" s="11" t="s">
        <v>64</v>
      </c>
      <c r="N76" s="14" t="s">
        <v>39</v>
      </c>
    </row>
    <row r="77" spans="1:14" x14ac:dyDescent="0.2">
      <c r="A77" s="10"/>
      <c r="B77" s="11" t="s">
        <v>12</v>
      </c>
      <c r="C77" s="11" t="s">
        <v>19</v>
      </c>
      <c r="D77" s="11">
        <v>120</v>
      </c>
      <c r="E77" s="9" t="s">
        <v>199</v>
      </c>
      <c r="F77" s="13">
        <v>43304</v>
      </c>
      <c r="G77" s="13" t="s">
        <v>67</v>
      </c>
      <c r="H77" s="11" t="s">
        <v>175</v>
      </c>
      <c r="I77" s="11" t="s">
        <v>16</v>
      </c>
      <c r="J77" s="11" t="s">
        <v>17</v>
      </c>
      <c r="K77" s="11">
        <v>14</v>
      </c>
      <c r="L77" s="11" t="s">
        <v>56</v>
      </c>
      <c r="M77" s="11" t="s">
        <v>64</v>
      </c>
      <c r="N77" s="14" t="s">
        <v>20</v>
      </c>
    </row>
    <row r="78" spans="1:14" x14ac:dyDescent="0.2">
      <c r="A78" s="10"/>
      <c r="B78" s="11" t="s">
        <v>12</v>
      </c>
      <c r="C78" s="11" t="s">
        <v>40</v>
      </c>
      <c r="D78" s="11">
        <v>10</v>
      </c>
      <c r="E78" s="9" t="s">
        <v>199</v>
      </c>
      <c r="F78" s="13">
        <v>43304</v>
      </c>
      <c r="G78" s="13" t="s">
        <v>67</v>
      </c>
      <c r="H78" s="11" t="s">
        <v>175</v>
      </c>
      <c r="I78" s="11" t="s">
        <v>16</v>
      </c>
      <c r="J78" s="11" t="s">
        <v>17</v>
      </c>
      <c r="K78" s="11">
        <v>14</v>
      </c>
      <c r="L78" s="11" t="s">
        <v>56</v>
      </c>
      <c r="M78" s="11" t="s">
        <v>64</v>
      </c>
      <c r="N78" s="14" t="s">
        <v>41</v>
      </c>
    </row>
    <row r="79" spans="1:14" x14ac:dyDescent="0.2">
      <c r="A79" s="10">
        <v>4701365915</v>
      </c>
      <c r="B79" s="11" t="s">
        <v>12</v>
      </c>
      <c r="C79" s="11" t="s">
        <v>49</v>
      </c>
      <c r="D79" s="11">
        <v>120</v>
      </c>
      <c r="E79" s="9" t="s">
        <v>199</v>
      </c>
      <c r="F79" s="13">
        <v>43304</v>
      </c>
      <c r="G79" s="13" t="s">
        <v>68</v>
      </c>
      <c r="H79" s="11" t="s">
        <v>176</v>
      </c>
      <c r="I79" s="11" t="s">
        <v>24</v>
      </c>
      <c r="J79" s="11" t="s">
        <v>25</v>
      </c>
      <c r="K79" s="11">
        <v>15</v>
      </c>
      <c r="L79" s="11" t="s">
        <v>56</v>
      </c>
      <c r="M79" s="11" t="s">
        <v>69</v>
      </c>
      <c r="N79" s="14" t="s">
        <v>50</v>
      </c>
    </row>
    <row r="80" spans="1:14" x14ac:dyDescent="0.2">
      <c r="A80" s="10">
        <v>4701365916</v>
      </c>
      <c r="B80" s="11" t="s">
        <v>33</v>
      </c>
      <c r="C80" s="11" t="s">
        <v>34</v>
      </c>
      <c r="D80" s="11">
        <v>10</v>
      </c>
      <c r="E80" s="9" t="s">
        <v>199</v>
      </c>
      <c r="F80" s="13">
        <v>43304</v>
      </c>
      <c r="G80" s="13" t="s">
        <v>68</v>
      </c>
      <c r="H80" s="11" t="s">
        <v>176</v>
      </c>
      <c r="I80" s="11" t="s">
        <v>24</v>
      </c>
      <c r="J80" s="11" t="s">
        <v>25</v>
      </c>
      <c r="K80" s="11">
        <v>15</v>
      </c>
      <c r="L80" s="11" t="s">
        <v>56</v>
      </c>
      <c r="M80" s="11" t="s">
        <v>69</v>
      </c>
      <c r="N80" s="14" t="s">
        <v>35</v>
      </c>
    </row>
    <row r="81" spans="1:14" x14ac:dyDescent="0.2">
      <c r="A81" s="10">
        <v>4701365917</v>
      </c>
      <c r="B81" s="11" t="s">
        <v>12</v>
      </c>
      <c r="C81" s="11" t="s">
        <v>44</v>
      </c>
      <c r="D81" s="11">
        <v>48</v>
      </c>
      <c r="E81" s="9" t="s">
        <v>199</v>
      </c>
      <c r="F81" s="13">
        <v>43304</v>
      </c>
      <c r="G81" s="13" t="s">
        <v>68</v>
      </c>
      <c r="H81" s="11" t="s">
        <v>176</v>
      </c>
      <c r="I81" s="11" t="s">
        <v>16</v>
      </c>
      <c r="J81" s="11" t="s">
        <v>17</v>
      </c>
      <c r="K81" s="11">
        <v>15</v>
      </c>
      <c r="L81" s="11" t="s">
        <v>56</v>
      </c>
      <c r="M81" s="11" t="s">
        <v>69</v>
      </c>
      <c r="N81" s="14" t="s">
        <v>45</v>
      </c>
    </row>
    <row r="82" spans="1:14" x14ac:dyDescent="0.2">
      <c r="A82" s="10"/>
      <c r="B82" s="11" t="s">
        <v>12</v>
      </c>
      <c r="C82" s="11" t="s">
        <v>13</v>
      </c>
      <c r="D82" s="11">
        <v>6</v>
      </c>
      <c r="E82" s="9" t="s">
        <v>199</v>
      </c>
      <c r="F82" s="13">
        <v>43304</v>
      </c>
      <c r="G82" s="13" t="s">
        <v>68</v>
      </c>
      <c r="H82" s="11" t="s">
        <v>176</v>
      </c>
      <c r="I82" s="11" t="s">
        <v>16</v>
      </c>
      <c r="J82" s="11" t="s">
        <v>17</v>
      </c>
      <c r="K82" s="11">
        <v>15</v>
      </c>
      <c r="L82" s="11" t="s">
        <v>56</v>
      </c>
      <c r="M82" s="11" t="s">
        <v>69</v>
      </c>
      <c r="N82" s="14" t="s">
        <v>18</v>
      </c>
    </row>
    <row r="83" spans="1:14" x14ac:dyDescent="0.2">
      <c r="A83" s="10"/>
      <c r="B83" s="11" t="s">
        <v>12</v>
      </c>
      <c r="C83" s="11" t="s">
        <v>38</v>
      </c>
      <c r="D83" s="11">
        <v>48</v>
      </c>
      <c r="E83" s="9" t="s">
        <v>199</v>
      </c>
      <c r="F83" s="13">
        <v>43304</v>
      </c>
      <c r="G83" s="13" t="s">
        <v>68</v>
      </c>
      <c r="H83" s="11" t="s">
        <v>176</v>
      </c>
      <c r="I83" s="11" t="s">
        <v>16</v>
      </c>
      <c r="J83" s="11" t="s">
        <v>17</v>
      </c>
      <c r="K83" s="11">
        <v>15</v>
      </c>
      <c r="L83" s="11" t="s">
        <v>56</v>
      </c>
      <c r="M83" s="11" t="s">
        <v>69</v>
      </c>
      <c r="N83" s="14" t="s">
        <v>39</v>
      </c>
    </row>
    <row r="84" spans="1:14" x14ac:dyDescent="0.2">
      <c r="A84" s="10"/>
      <c r="B84" s="11" t="s">
        <v>12</v>
      </c>
      <c r="C84" s="11" t="s">
        <v>19</v>
      </c>
      <c r="D84" s="11">
        <v>230</v>
      </c>
      <c r="E84" s="7" t="s">
        <v>199</v>
      </c>
      <c r="F84" s="13">
        <v>43304</v>
      </c>
      <c r="G84" s="13" t="s">
        <v>68</v>
      </c>
      <c r="H84" s="11" t="s">
        <v>176</v>
      </c>
      <c r="I84" s="11" t="s">
        <v>16</v>
      </c>
      <c r="J84" s="11" t="s">
        <v>17</v>
      </c>
      <c r="K84" s="11">
        <v>15</v>
      </c>
      <c r="L84" s="11" t="s">
        <v>56</v>
      </c>
      <c r="M84" s="11" t="s">
        <v>69</v>
      </c>
      <c r="N84" s="14" t="s">
        <v>20</v>
      </c>
    </row>
    <row r="85" spans="1:14" x14ac:dyDescent="0.2">
      <c r="A85" s="10"/>
      <c r="B85" s="11" t="s">
        <v>12</v>
      </c>
      <c r="C85" s="11" t="s">
        <v>65</v>
      </c>
      <c r="D85" s="11">
        <v>20</v>
      </c>
      <c r="E85" s="7" t="s">
        <v>199</v>
      </c>
      <c r="F85" s="13">
        <v>43304</v>
      </c>
      <c r="G85" s="13" t="s">
        <v>68</v>
      </c>
      <c r="H85" s="11" t="s">
        <v>176</v>
      </c>
      <c r="I85" s="11" t="s">
        <v>16</v>
      </c>
      <c r="J85" s="11" t="s">
        <v>17</v>
      </c>
      <c r="K85" s="11">
        <v>15</v>
      </c>
      <c r="L85" s="11" t="s">
        <v>56</v>
      </c>
      <c r="M85" s="11" t="s">
        <v>69</v>
      </c>
      <c r="N85" s="14" t="s">
        <v>66</v>
      </c>
    </row>
    <row r="86" spans="1:14" x14ac:dyDescent="0.2">
      <c r="A86" s="10"/>
      <c r="B86" s="11" t="s">
        <v>12</v>
      </c>
      <c r="C86" s="11" t="s">
        <v>57</v>
      </c>
      <c r="D86" s="11">
        <v>16</v>
      </c>
      <c r="E86" s="7" t="s">
        <v>199</v>
      </c>
      <c r="F86" s="13">
        <v>43304</v>
      </c>
      <c r="G86" s="13" t="s">
        <v>68</v>
      </c>
      <c r="H86" s="11" t="s">
        <v>176</v>
      </c>
      <c r="I86" s="11" t="s">
        <v>16</v>
      </c>
      <c r="J86" s="11" t="s">
        <v>17</v>
      </c>
      <c r="K86" s="11">
        <v>15</v>
      </c>
      <c r="L86" s="11" t="s">
        <v>56</v>
      </c>
      <c r="M86" s="11" t="s">
        <v>69</v>
      </c>
      <c r="N86" s="14" t="s">
        <v>58</v>
      </c>
    </row>
    <row r="87" spans="1:14" x14ac:dyDescent="0.2">
      <c r="A87" s="10">
        <v>4701365918</v>
      </c>
      <c r="B87" s="11" t="s">
        <v>12</v>
      </c>
      <c r="C87" s="11" t="s">
        <v>47</v>
      </c>
      <c r="D87" s="11">
        <v>5</v>
      </c>
      <c r="E87" s="7" t="s">
        <v>199</v>
      </c>
      <c r="F87" s="13">
        <v>43304</v>
      </c>
      <c r="G87" s="13" t="s">
        <v>70</v>
      </c>
      <c r="H87" s="11" t="s">
        <v>177</v>
      </c>
      <c r="I87" s="11" t="s">
        <v>24</v>
      </c>
      <c r="J87" s="11" t="s">
        <v>25</v>
      </c>
      <c r="K87" s="11">
        <v>15</v>
      </c>
      <c r="L87" s="11" t="s">
        <v>56</v>
      </c>
      <c r="M87" s="11" t="s">
        <v>69</v>
      </c>
      <c r="N87" s="14" t="s">
        <v>48</v>
      </c>
    </row>
    <row r="88" spans="1:14" x14ac:dyDescent="0.2">
      <c r="A88" s="10"/>
      <c r="B88" s="11" t="s">
        <v>12</v>
      </c>
      <c r="C88" s="11" t="s">
        <v>49</v>
      </c>
      <c r="D88" s="11">
        <v>26</v>
      </c>
      <c r="E88" s="7" t="s">
        <v>199</v>
      </c>
      <c r="F88" s="13">
        <v>43304</v>
      </c>
      <c r="G88" s="13" t="s">
        <v>70</v>
      </c>
      <c r="H88" s="11" t="s">
        <v>177</v>
      </c>
      <c r="I88" s="11" t="s">
        <v>24</v>
      </c>
      <c r="J88" s="11" t="s">
        <v>25</v>
      </c>
      <c r="K88" s="11">
        <v>15</v>
      </c>
      <c r="L88" s="11" t="s">
        <v>56</v>
      </c>
      <c r="M88" s="11" t="s">
        <v>69</v>
      </c>
      <c r="N88" s="14" t="s">
        <v>50</v>
      </c>
    </row>
    <row r="89" spans="1:14" x14ac:dyDescent="0.2">
      <c r="A89" s="10">
        <v>4701365919</v>
      </c>
      <c r="B89" s="11" t="s">
        <v>33</v>
      </c>
      <c r="C89" s="11" t="s">
        <v>36</v>
      </c>
      <c r="D89" s="11">
        <v>20</v>
      </c>
      <c r="E89" s="7" t="s">
        <v>199</v>
      </c>
      <c r="F89" s="13">
        <v>43304</v>
      </c>
      <c r="G89" s="13" t="s">
        <v>70</v>
      </c>
      <c r="H89" s="11" t="s">
        <v>177</v>
      </c>
      <c r="I89" s="11" t="s">
        <v>24</v>
      </c>
      <c r="J89" s="11" t="s">
        <v>25</v>
      </c>
      <c r="K89" s="11">
        <v>15</v>
      </c>
      <c r="L89" s="11" t="s">
        <v>56</v>
      </c>
      <c r="M89" s="11" t="s">
        <v>69</v>
      </c>
      <c r="N89" s="14" t="s">
        <v>37</v>
      </c>
    </row>
    <row r="90" spans="1:14" x14ac:dyDescent="0.2">
      <c r="A90" s="10">
        <v>4701365920</v>
      </c>
      <c r="B90" s="11" t="s">
        <v>12</v>
      </c>
      <c r="C90" s="11" t="s">
        <v>38</v>
      </c>
      <c r="D90" s="11">
        <v>24</v>
      </c>
      <c r="E90" s="7" t="s">
        <v>199</v>
      </c>
      <c r="F90" s="13">
        <v>43304</v>
      </c>
      <c r="G90" s="13" t="s">
        <v>70</v>
      </c>
      <c r="H90" s="11" t="s">
        <v>177</v>
      </c>
      <c r="I90" s="11" t="s">
        <v>16</v>
      </c>
      <c r="J90" s="11" t="s">
        <v>17</v>
      </c>
      <c r="K90" s="11">
        <v>15</v>
      </c>
      <c r="L90" s="11" t="s">
        <v>56</v>
      </c>
      <c r="M90" s="11" t="s">
        <v>69</v>
      </c>
      <c r="N90" s="14" t="s">
        <v>39</v>
      </c>
    </row>
    <row r="91" spans="1:14" x14ac:dyDescent="0.2">
      <c r="A91" s="10"/>
      <c r="B91" s="11" t="s">
        <v>12</v>
      </c>
      <c r="C91" s="11" t="s">
        <v>19</v>
      </c>
      <c r="D91" s="11">
        <v>30</v>
      </c>
      <c r="E91" s="7" t="s">
        <v>199</v>
      </c>
      <c r="F91" s="13">
        <v>43304</v>
      </c>
      <c r="G91" s="13" t="s">
        <v>70</v>
      </c>
      <c r="H91" s="11" t="s">
        <v>177</v>
      </c>
      <c r="I91" s="11" t="s">
        <v>16</v>
      </c>
      <c r="J91" s="11" t="s">
        <v>17</v>
      </c>
      <c r="K91" s="11">
        <v>15</v>
      </c>
      <c r="L91" s="11" t="s">
        <v>56</v>
      </c>
      <c r="M91" s="11" t="s">
        <v>69</v>
      </c>
      <c r="N91" s="14" t="s">
        <v>20</v>
      </c>
    </row>
    <row r="92" spans="1:14" x14ac:dyDescent="0.2">
      <c r="A92" s="10"/>
      <c r="B92" s="11" t="s">
        <v>12</v>
      </c>
      <c r="C92" s="11" t="s">
        <v>57</v>
      </c>
      <c r="D92" s="11">
        <v>17</v>
      </c>
      <c r="E92" s="7" t="s">
        <v>199</v>
      </c>
      <c r="F92" s="13">
        <v>43304</v>
      </c>
      <c r="G92" s="13" t="s">
        <v>70</v>
      </c>
      <c r="H92" s="11" t="s">
        <v>177</v>
      </c>
      <c r="I92" s="11" t="s">
        <v>16</v>
      </c>
      <c r="J92" s="11" t="s">
        <v>17</v>
      </c>
      <c r="K92" s="11">
        <v>15</v>
      </c>
      <c r="L92" s="11" t="s">
        <v>56</v>
      </c>
      <c r="M92" s="11" t="s">
        <v>69</v>
      </c>
      <c r="N92" s="14" t="s">
        <v>58</v>
      </c>
    </row>
    <row r="93" spans="1:14" x14ac:dyDescent="0.2">
      <c r="A93" s="10">
        <v>4701365921</v>
      </c>
      <c r="B93" s="11" t="s">
        <v>12</v>
      </c>
      <c r="C93" s="11" t="s">
        <v>47</v>
      </c>
      <c r="D93" s="11">
        <v>4</v>
      </c>
      <c r="E93" s="7" t="s">
        <v>199</v>
      </c>
      <c r="F93" s="13">
        <v>43304</v>
      </c>
      <c r="G93" s="13" t="s">
        <v>71</v>
      </c>
      <c r="H93" s="11" t="s">
        <v>178</v>
      </c>
      <c r="I93" s="11" t="s">
        <v>24</v>
      </c>
      <c r="J93" s="11" t="s">
        <v>25</v>
      </c>
      <c r="K93" s="11">
        <v>16</v>
      </c>
      <c r="L93" s="11" t="s">
        <v>56</v>
      </c>
      <c r="M93" s="11" t="s">
        <v>72</v>
      </c>
      <c r="N93" s="14" t="s">
        <v>48</v>
      </c>
    </row>
    <row r="94" spans="1:14" x14ac:dyDescent="0.2">
      <c r="A94" s="10">
        <v>4701365922</v>
      </c>
      <c r="B94" s="11" t="s">
        <v>12</v>
      </c>
      <c r="C94" s="11" t="s">
        <v>44</v>
      </c>
      <c r="D94" s="11">
        <v>20</v>
      </c>
      <c r="E94" s="7" t="s">
        <v>199</v>
      </c>
      <c r="F94" s="13">
        <v>43304</v>
      </c>
      <c r="G94" s="13" t="s">
        <v>71</v>
      </c>
      <c r="H94" s="11" t="s">
        <v>178</v>
      </c>
      <c r="I94" s="11" t="s">
        <v>16</v>
      </c>
      <c r="J94" s="11" t="s">
        <v>17</v>
      </c>
      <c r="K94" s="11">
        <v>16</v>
      </c>
      <c r="L94" s="11" t="s">
        <v>56</v>
      </c>
      <c r="M94" s="11" t="s">
        <v>72</v>
      </c>
      <c r="N94" s="14" t="s">
        <v>45</v>
      </c>
    </row>
    <row r="95" spans="1:14" x14ac:dyDescent="0.2">
      <c r="A95" s="10"/>
      <c r="B95" s="11" t="s">
        <v>12</v>
      </c>
      <c r="C95" s="11" t="s">
        <v>38</v>
      </c>
      <c r="D95" s="11">
        <v>48</v>
      </c>
      <c r="E95" s="7" t="s">
        <v>199</v>
      </c>
      <c r="F95" s="13">
        <v>43304</v>
      </c>
      <c r="G95" s="13" t="s">
        <v>71</v>
      </c>
      <c r="H95" s="11" t="s">
        <v>178</v>
      </c>
      <c r="I95" s="11" t="s">
        <v>16</v>
      </c>
      <c r="J95" s="11" t="s">
        <v>17</v>
      </c>
      <c r="K95" s="11">
        <v>16</v>
      </c>
      <c r="L95" s="11" t="s">
        <v>56</v>
      </c>
      <c r="M95" s="11" t="s">
        <v>72</v>
      </c>
      <c r="N95" s="14" t="s">
        <v>39</v>
      </c>
    </row>
    <row r="96" spans="1:14" x14ac:dyDescent="0.2">
      <c r="A96" s="10"/>
      <c r="B96" s="11" t="s">
        <v>12</v>
      </c>
      <c r="C96" s="11" t="s">
        <v>19</v>
      </c>
      <c r="D96" s="11">
        <v>240</v>
      </c>
      <c r="E96" s="7" t="s">
        <v>199</v>
      </c>
      <c r="F96" s="13">
        <v>43304</v>
      </c>
      <c r="G96" s="13" t="s">
        <v>71</v>
      </c>
      <c r="H96" s="11" t="s">
        <v>178</v>
      </c>
      <c r="I96" s="11" t="s">
        <v>16</v>
      </c>
      <c r="J96" s="11" t="s">
        <v>17</v>
      </c>
      <c r="K96" s="11">
        <v>16</v>
      </c>
      <c r="L96" s="11" t="s">
        <v>56</v>
      </c>
      <c r="M96" s="11" t="s">
        <v>72</v>
      </c>
      <c r="N96" s="14" t="s">
        <v>20</v>
      </c>
    </row>
    <row r="97" spans="1:14" ht="12.75" customHeight="1" x14ac:dyDescent="0.2">
      <c r="A97" s="10"/>
      <c r="B97" s="11" t="s">
        <v>12</v>
      </c>
      <c r="C97" s="11" t="s">
        <v>40</v>
      </c>
      <c r="D97" s="11">
        <v>10</v>
      </c>
      <c r="E97" s="7" t="s">
        <v>199</v>
      </c>
      <c r="F97" s="13">
        <v>43304</v>
      </c>
      <c r="G97" s="13" t="s">
        <v>71</v>
      </c>
      <c r="H97" s="11" t="s">
        <v>178</v>
      </c>
      <c r="I97" s="11" t="s">
        <v>16</v>
      </c>
      <c r="J97" s="11" t="s">
        <v>17</v>
      </c>
      <c r="K97" s="11">
        <v>16</v>
      </c>
      <c r="L97" s="11" t="s">
        <v>56</v>
      </c>
      <c r="M97" s="11" t="s">
        <v>72</v>
      </c>
      <c r="N97" s="14" t="s">
        <v>41</v>
      </c>
    </row>
    <row r="98" spans="1:14" ht="12.75" customHeight="1" x14ac:dyDescent="0.2">
      <c r="A98" s="10">
        <v>4701365923</v>
      </c>
      <c r="B98" s="11" t="s">
        <v>12</v>
      </c>
      <c r="C98" s="11" t="s">
        <v>38</v>
      </c>
      <c r="D98" s="11">
        <v>48</v>
      </c>
      <c r="E98" s="7" t="s">
        <v>199</v>
      </c>
      <c r="F98" s="13">
        <v>43304</v>
      </c>
      <c r="G98" s="13" t="s">
        <v>73</v>
      </c>
      <c r="H98" s="11" t="s">
        <v>74</v>
      </c>
      <c r="I98" s="11" t="s">
        <v>16</v>
      </c>
      <c r="J98" s="11" t="s">
        <v>17</v>
      </c>
      <c r="K98" s="11">
        <v>16</v>
      </c>
      <c r="L98" s="11" t="s">
        <v>56</v>
      </c>
      <c r="M98" s="11" t="s">
        <v>72</v>
      </c>
      <c r="N98" s="14" t="s">
        <v>39</v>
      </c>
    </row>
    <row r="99" spans="1:14" ht="12.75" customHeight="1" x14ac:dyDescent="0.2">
      <c r="A99" s="10"/>
      <c r="B99" s="11" t="s">
        <v>12</v>
      </c>
      <c r="C99" s="11" t="s">
        <v>19</v>
      </c>
      <c r="D99" s="11">
        <v>270</v>
      </c>
      <c r="E99" s="7" t="s">
        <v>199</v>
      </c>
      <c r="F99" s="13">
        <v>43304</v>
      </c>
      <c r="G99" s="13" t="s">
        <v>73</v>
      </c>
      <c r="H99" s="11" t="s">
        <v>74</v>
      </c>
      <c r="I99" s="11" t="s">
        <v>16</v>
      </c>
      <c r="J99" s="11" t="s">
        <v>17</v>
      </c>
      <c r="K99" s="11">
        <v>16</v>
      </c>
      <c r="L99" s="11" t="s">
        <v>56</v>
      </c>
      <c r="M99" s="11" t="s">
        <v>72</v>
      </c>
      <c r="N99" s="14" t="s">
        <v>20</v>
      </c>
    </row>
    <row r="100" spans="1:14" ht="12.75" customHeight="1" x14ac:dyDescent="0.2">
      <c r="A100" s="10"/>
      <c r="B100" s="11" t="s">
        <v>12</v>
      </c>
      <c r="C100" s="11" t="s">
        <v>40</v>
      </c>
      <c r="D100" s="11">
        <v>10</v>
      </c>
      <c r="E100" s="7" t="s">
        <v>199</v>
      </c>
      <c r="F100" s="13">
        <v>43304</v>
      </c>
      <c r="G100" s="13" t="s">
        <v>73</v>
      </c>
      <c r="H100" s="11" t="s">
        <v>74</v>
      </c>
      <c r="I100" s="11" t="s">
        <v>16</v>
      </c>
      <c r="J100" s="11" t="s">
        <v>17</v>
      </c>
      <c r="K100" s="11">
        <v>16</v>
      </c>
      <c r="L100" s="11" t="s">
        <v>56</v>
      </c>
      <c r="M100" s="11" t="s">
        <v>72</v>
      </c>
      <c r="N100" s="14" t="s">
        <v>41</v>
      </c>
    </row>
    <row r="101" spans="1:14" ht="12.75" customHeight="1" x14ac:dyDescent="0.2">
      <c r="A101" s="10"/>
      <c r="B101" s="11" t="s">
        <v>12</v>
      </c>
      <c r="C101" s="11" t="s">
        <v>57</v>
      </c>
      <c r="D101" s="11">
        <v>36</v>
      </c>
      <c r="E101" s="7" t="s">
        <v>199</v>
      </c>
      <c r="F101" s="13">
        <v>43304</v>
      </c>
      <c r="G101" s="13" t="s">
        <v>73</v>
      </c>
      <c r="H101" s="11" t="s">
        <v>74</v>
      </c>
      <c r="I101" s="11" t="s">
        <v>16</v>
      </c>
      <c r="J101" s="11" t="s">
        <v>17</v>
      </c>
      <c r="K101" s="11">
        <v>16</v>
      </c>
      <c r="L101" s="11" t="s">
        <v>56</v>
      </c>
      <c r="M101" s="11" t="s">
        <v>72</v>
      </c>
      <c r="N101" s="14" t="s">
        <v>58</v>
      </c>
    </row>
    <row r="102" spans="1:14" ht="12.75" customHeight="1" x14ac:dyDescent="0.2">
      <c r="A102" s="10"/>
      <c r="B102" s="11" t="s">
        <v>12</v>
      </c>
      <c r="C102" s="11" t="s">
        <v>42</v>
      </c>
      <c r="D102" s="11">
        <v>30</v>
      </c>
      <c r="E102" s="7" t="s">
        <v>199</v>
      </c>
      <c r="F102" s="13">
        <v>43304</v>
      </c>
      <c r="G102" s="13" t="s">
        <v>73</v>
      </c>
      <c r="H102" s="11" t="s">
        <v>74</v>
      </c>
      <c r="I102" s="11" t="s">
        <v>16</v>
      </c>
      <c r="J102" s="11" t="s">
        <v>17</v>
      </c>
      <c r="K102" s="11">
        <v>16</v>
      </c>
      <c r="L102" s="11" t="s">
        <v>56</v>
      </c>
      <c r="M102" s="11" t="s">
        <v>72</v>
      </c>
      <c r="N102" s="14" t="s">
        <v>43</v>
      </c>
    </row>
    <row r="103" spans="1:14" ht="12.75" customHeight="1" x14ac:dyDescent="0.2">
      <c r="A103" s="10">
        <v>4701365924</v>
      </c>
      <c r="B103" s="11" t="s">
        <v>12</v>
      </c>
      <c r="C103" s="11" t="s">
        <v>13</v>
      </c>
      <c r="D103" s="11">
        <v>100</v>
      </c>
      <c r="E103" s="7" t="s">
        <v>199</v>
      </c>
      <c r="F103" s="13">
        <v>43304</v>
      </c>
      <c r="G103" s="13" t="s">
        <v>75</v>
      </c>
      <c r="H103" s="11" t="s">
        <v>160</v>
      </c>
      <c r="I103" s="11" t="s">
        <v>16</v>
      </c>
      <c r="J103" s="11" t="s">
        <v>17</v>
      </c>
      <c r="K103" s="11">
        <v>17</v>
      </c>
      <c r="L103" s="11" t="s">
        <v>56</v>
      </c>
      <c r="M103" s="11"/>
      <c r="N103" s="14" t="s">
        <v>18</v>
      </c>
    </row>
    <row r="104" spans="1:14" ht="12.75" customHeight="1" x14ac:dyDescent="0.2">
      <c r="A104" s="10"/>
      <c r="B104" s="11" t="s">
        <v>12</v>
      </c>
      <c r="C104" s="11" t="s">
        <v>76</v>
      </c>
      <c r="D104" s="11">
        <v>100</v>
      </c>
      <c r="E104" s="7" t="s">
        <v>199</v>
      </c>
      <c r="F104" s="13">
        <v>43304</v>
      </c>
      <c r="G104" s="13" t="s">
        <v>75</v>
      </c>
      <c r="H104" s="11" t="s">
        <v>160</v>
      </c>
      <c r="I104" s="11" t="s">
        <v>16</v>
      </c>
      <c r="J104" s="11" t="s">
        <v>17</v>
      </c>
      <c r="K104" s="11">
        <v>17</v>
      </c>
      <c r="L104" s="11" t="s">
        <v>56</v>
      </c>
      <c r="M104" s="11"/>
      <c r="N104" s="14" t="s">
        <v>77</v>
      </c>
    </row>
    <row r="105" spans="1:14" ht="12.75" customHeight="1" x14ac:dyDescent="0.2">
      <c r="A105" s="10"/>
      <c r="B105" s="11" t="s">
        <v>12</v>
      </c>
      <c r="C105" s="11" t="s">
        <v>78</v>
      </c>
      <c r="D105" s="11">
        <v>500</v>
      </c>
      <c r="E105" s="7" t="s">
        <v>199</v>
      </c>
      <c r="F105" s="13">
        <v>43304</v>
      </c>
      <c r="G105" s="13" t="s">
        <v>75</v>
      </c>
      <c r="H105" s="11" t="s">
        <v>160</v>
      </c>
      <c r="I105" s="11" t="s">
        <v>16</v>
      </c>
      <c r="J105" s="11" t="s">
        <v>17</v>
      </c>
      <c r="K105" s="11">
        <v>17</v>
      </c>
      <c r="L105" s="11" t="s">
        <v>56</v>
      </c>
      <c r="M105" s="11"/>
      <c r="N105" s="14" t="s">
        <v>79</v>
      </c>
    </row>
    <row r="106" spans="1:14" ht="12.75" customHeight="1" x14ac:dyDescent="0.2">
      <c r="A106" s="10">
        <v>4701365925</v>
      </c>
      <c r="B106" s="11" t="s">
        <v>12</v>
      </c>
      <c r="C106" s="11" t="s">
        <v>80</v>
      </c>
      <c r="D106" s="11">
        <v>24</v>
      </c>
      <c r="E106" s="7" t="s">
        <v>199</v>
      </c>
      <c r="F106" s="13">
        <v>43304</v>
      </c>
      <c r="G106" s="13" t="s">
        <v>81</v>
      </c>
      <c r="H106" s="11" t="s">
        <v>161</v>
      </c>
      <c r="I106" s="11" t="s">
        <v>16</v>
      </c>
      <c r="J106" s="11" t="s">
        <v>17</v>
      </c>
      <c r="K106" s="11">
        <v>18</v>
      </c>
      <c r="L106" s="11" t="s">
        <v>196</v>
      </c>
      <c r="M106" s="11"/>
      <c r="N106" s="14" t="s">
        <v>82</v>
      </c>
    </row>
    <row r="107" spans="1:14" ht="12.75" customHeight="1" x14ac:dyDescent="0.2">
      <c r="A107" s="10"/>
      <c r="B107" s="11" t="s">
        <v>12</v>
      </c>
      <c r="C107" s="11" t="s">
        <v>78</v>
      </c>
      <c r="D107" s="11">
        <v>500</v>
      </c>
      <c r="E107" s="7" t="s">
        <v>199</v>
      </c>
      <c r="F107" s="13">
        <v>43304</v>
      </c>
      <c r="G107" s="13" t="s">
        <v>81</v>
      </c>
      <c r="H107" s="11" t="s">
        <v>161</v>
      </c>
      <c r="I107" s="11" t="s">
        <v>16</v>
      </c>
      <c r="J107" s="11" t="s">
        <v>17</v>
      </c>
      <c r="K107" s="11">
        <v>18</v>
      </c>
      <c r="L107" s="11" t="s">
        <v>196</v>
      </c>
      <c r="M107" s="11"/>
      <c r="N107" s="14" t="s">
        <v>79</v>
      </c>
    </row>
    <row r="108" spans="1:14" ht="12.75" customHeight="1" x14ac:dyDescent="0.2">
      <c r="A108" s="10">
        <v>4701365926</v>
      </c>
      <c r="B108" s="11" t="s">
        <v>12</v>
      </c>
      <c r="C108" s="11" t="s">
        <v>13</v>
      </c>
      <c r="D108" s="11">
        <v>25</v>
      </c>
      <c r="E108" s="7" t="s">
        <v>199</v>
      </c>
      <c r="F108" s="13">
        <v>43304</v>
      </c>
      <c r="G108" s="13" t="s">
        <v>83</v>
      </c>
      <c r="H108" s="11" t="s">
        <v>84</v>
      </c>
      <c r="I108" s="11" t="s">
        <v>16</v>
      </c>
      <c r="J108" s="11" t="s">
        <v>17</v>
      </c>
      <c r="K108" s="11">
        <v>19</v>
      </c>
      <c r="L108" s="11" t="s">
        <v>56</v>
      </c>
      <c r="M108" s="11"/>
      <c r="N108" s="14" t="s">
        <v>18</v>
      </c>
    </row>
    <row r="109" spans="1:14" ht="12.75" customHeight="1" x14ac:dyDescent="0.2">
      <c r="A109" s="10"/>
      <c r="B109" s="11" t="s">
        <v>12</v>
      </c>
      <c r="C109" s="11" t="s">
        <v>57</v>
      </c>
      <c r="D109" s="11">
        <v>5</v>
      </c>
      <c r="E109" s="7" t="s">
        <v>199</v>
      </c>
      <c r="F109" s="13">
        <v>43304</v>
      </c>
      <c r="G109" s="13" t="s">
        <v>83</v>
      </c>
      <c r="H109" s="11" t="s">
        <v>84</v>
      </c>
      <c r="I109" s="11" t="s">
        <v>16</v>
      </c>
      <c r="J109" s="11" t="s">
        <v>17</v>
      </c>
      <c r="K109" s="11">
        <v>19</v>
      </c>
      <c r="L109" s="11" t="s">
        <v>56</v>
      </c>
      <c r="M109" s="11"/>
      <c r="N109" s="14" t="s">
        <v>58</v>
      </c>
    </row>
    <row r="110" spans="1:14" ht="12.75" customHeight="1" x14ac:dyDescent="0.2">
      <c r="A110" s="10"/>
      <c r="B110" s="11" t="s">
        <v>12</v>
      </c>
      <c r="C110" s="11" t="s">
        <v>80</v>
      </c>
      <c r="D110" s="11">
        <v>39</v>
      </c>
      <c r="E110" s="7" t="s">
        <v>199</v>
      </c>
      <c r="F110" s="13">
        <v>43304</v>
      </c>
      <c r="G110" s="13" t="s">
        <v>83</v>
      </c>
      <c r="H110" s="11" t="s">
        <v>84</v>
      </c>
      <c r="I110" s="11" t="s">
        <v>16</v>
      </c>
      <c r="J110" s="11" t="s">
        <v>17</v>
      </c>
      <c r="K110" s="11">
        <v>19</v>
      </c>
      <c r="L110" s="11" t="s">
        <v>56</v>
      </c>
      <c r="M110" s="11"/>
      <c r="N110" s="14" t="s">
        <v>82</v>
      </c>
    </row>
    <row r="111" spans="1:14" ht="12.75" customHeight="1" x14ac:dyDescent="0.2">
      <c r="A111" s="10"/>
      <c r="B111" s="11" t="s">
        <v>12</v>
      </c>
      <c r="C111" s="11" t="s">
        <v>76</v>
      </c>
      <c r="D111" s="11">
        <v>180</v>
      </c>
      <c r="E111" s="7" t="s">
        <v>199</v>
      </c>
      <c r="F111" s="13">
        <v>43304</v>
      </c>
      <c r="G111" s="13" t="s">
        <v>83</v>
      </c>
      <c r="H111" s="11" t="s">
        <v>84</v>
      </c>
      <c r="I111" s="11" t="s">
        <v>16</v>
      </c>
      <c r="J111" s="11" t="s">
        <v>17</v>
      </c>
      <c r="K111" s="11">
        <v>19</v>
      </c>
      <c r="L111" s="11" t="s">
        <v>56</v>
      </c>
      <c r="M111" s="11"/>
      <c r="N111" s="14" t="s">
        <v>77</v>
      </c>
    </row>
    <row r="112" spans="1:14" x14ac:dyDescent="0.2">
      <c r="A112" s="10"/>
      <c r="B112" s="11" t="s">
        <v>12</v>
      </c>
      <c r="C112" s="11" t="s">
        <v>78</v>
      </c>
      <c r="D112" s="11">
        <v>470</v>
      </c>
      <c r="E112" s="7" t="s">
        <v>199</v>
      </c>
      <c r="F112" s="13">
        <v>43304</v>
      </c>
      <c r="G112" s="13" t="s">
        <v>83</v>
      </c>
      <c r="H112" s="11" t="s">
        <v>84</v>
      </c>
      <c r="I112" s="11" t="s">
        <v>16</v>
      </c>
      <c r="J112" s="11" t="s">
        <v>17</v>
      </c>
      <c r="K112" s="11">
        <v>19</v>
      </c>
      <c r="L112" s="11" t="s">
        <v>56</v>
      </c>
      <c r="M112" s="11"/>
      <c r="N112" s="14" t="s">
        <v>79</v>
      </c>
    </row>
    <row r="113" spans="1:14" x14ac:dyDescent="0.2">
      <c r="A113" s="10">
        <v>4701365927</v>
      </c>
      <c r="B113" s="11" t="s">
        <v>12</v>
      </c>
      <c r="C113" s="11" t="s">
        <v>44</v>
      </c>
      <c r="D113" s="11">
        <v>22</v>
      </c>
      <c r="E113" s="7" t="s">
        <v>199</v>
      </c>
      <c r="F113" s="13">
        <v>43304</v>
      </c>
      <c r="G113" s="13" t="s">
        <v>85</v>
      </c>
      <c r="H113" s="11" t="s">
        <v>162</v>
      </c>
      <c r="I113" s="11" t="s">
        <v>16</v>
      </c>
      <c r="J113" s="11" t="s">
        <v>17</v>
      </c>
      <c r="K113" s="11">
        <v>20</v>
      </c>
      <c r="L113" s="11" t="s">
        <v>196</v>
      </c>
      <c r="M113" s="11"/>
      <c r="N113" s="14" t="s">
        <v>45</v>
      </c>
    </row>
    <row r="114" spans="1:14" x14ac:dyDescent="0.2">
      <c r="A114" s="10"/>
      <c r="B114" s="11" t="s">
        <v>12</v>
      </c>
      <c r="C114" s="11" t="s">
        <v>13</v>
      </c>
      <c r="D114" s="11">
        <v>120</v>
      </c>
      <c r="E114" s="7" t="s">
        <v>199</v>
      </c>
      <c r="F114" s="13">
        <v>43304</v>
      </c>
      <c r="G114" s="13" t="s">
        <v>85</v>
      </c>
      <c r="H114" s="11" t="s">
        <v>162</v>
      </c>
      <c r="I114" s="11" t="s">
        <v>16</v>
      </c>
      <c r="J114" s="11" t="s">
        <v>17</v>
      </c>
      <c r="K114" s="11">
        <v>20</v>
      </c>
      <c r="L114" s="11" t="s">
        <v>196</v>
      </c>
      <c r="M114" s="11"/>
      <c r="N114" s="14" t="s">
        <v>18</v>
      </c>
    </row>
    <row r="115" spans="1:14" x14ac:dyDescent="0.2">
      <c r="A115" s="10"/>
      <c r="B115" s="11" t="s">
        <v>12</v>
      </c>
      <c r="C115" s="11" t="s">
        <v>57</v>
      </c>
      <c r="D115" s="11">
        <v>39</v>
      </c>
      <c r="E115" s="7" t="s">
        <v>199</v>
      </c>
      <c r="F115" s="13">
        <v>43304</v>
      </c>
      <c r="G115" s="13" t="s">
        <v>85</v>
      </c>
      <c r="H115" s="11" t="s">
        <v>162</v>
      </c>
      <c r="I115" s="11" t="s">
        <v>16</v>
      </c>
      <c r="J115" s="11" t="s">
        <v>17</v>
      </c>
      <c r="K115" s="11">
        <v>20</v>
      </c>
      <c r="L115" s="11" t="s">
        <v>196</v>
      </c>
      <c r="M115" s="11"/>
      <c r="N115" s="14" t="s">
        <v>58</v>
      </c>
    </row>
    <row r="116" spans="1:14" x14ac:dyDescent="0.2">
      <c r="A116" s="10"/>
      <c r="B116" s="11" t="s">
        <v>12</v>
      </c>
      <c r="C116" s="11" t="s">
        <v>80</v>
      </c>
      <c r="D116" s="11">
        <v>40</v>
      </c>
      <c r="E116" s="7" t="s">
        <v>199</v>
      </c>
      <c r="F116" s="13">
        <v>43304</v>
      </c>
      <c r="G116" s="13" t="s">
        <v>85</v>
      </c>
      <c r="H116" s="11" t="s">
        <v>162</v>
      </c>
      <c r="I116" s="11" t="s">
        <v>16</v>
      </c>
      <c r="J116" s="11" t="s">
        <v>17</v>
      </c>
      <c r="K116" s="11">
        <v>20</v>
      </c>
      <c r="L116" s="11" t="s">
        <v>196</v>
      </c>
      <c r="M116" s="11"/>
      <c r="N116" s="14" t="s">
        <v>82</v>
      </c>
    </row>
    <row r="117" spans="1:14" x14ac:dyDescent="0.2">
      <c r="A117" s="10"/>
      <c r="B117" s="11" t="s">
        <v>12</v>
      </c>
      <c r="C117" s="11" t="s">
        <v>76</v>
      </c>
      <c r="D117" s="11">
        <v>205</v>
      </c>
      <c r="E117" s="7" t="s">
        <v>199</v>
      </c>
      <c r="F117" s="13">
        <v>43304</v>
      </c>
      <c r="G117" s="13" t="s">
        <v>85</v>
      </c>
      <c r="H117" s="11" t="s">
        <v>162</v>
      </c>
      <c r="I117" s="11" t="s">
        <v>16</v>
      </c>
      <c r="J117" s="11" t="s">
        <v>17</v>
      </c>
      <c r="K117" s="11">
        <v>20</v>
      </c>
      <c r="L117" s="11" t="s">
        <v>196</v>
      </c>
      <c r="M117" s="11"/>
      <c r="N117" s="14" t="s">
        <v>77</v>
      </c>
    </row>
    <row r="118" spans="1:14" x14ac:dyDescent="0.2">
      <c r="A118" s="10">
        <v>4701365928</v>
      </c>
      <c r="B118" s="11" t="s">
        <v>12</v>
      </c>
      <c r="C118" s="11" t="s">
        <v>44</v>
      </c>
      <c r="D118" s="11">
        <v>15</v>
      </c>
      <c r="E118" s="7" t="s">
        <v>199</v>
      </c>
      <c r="F118" s="13">
        <v>43304</v>
      </c>
      <c r="G118" s="13" t="s">
        <v>86</v>
      </c>
      <c r="H118" s="11" t="s">
        <v>163</v>
      </c>
      <c r="I118" s="11" t="s">
        <v>16</v>
      </c>
      <c r="J118" s="11" t="s">
        <v>17</v>
      </c>
      <c r="K118" s="11">
        <v>21</v>
      </c>
      <c r="L118" s="11" t="s">
        <v>196</v>
      </c>
      <c r="M118" s="11" t="s">
        <v>87</v>
      </c>
      <c r="N118" s="14" t="s">
        <v>45</v>
      </c>
    </row>
    <row r="119" spans="1:14" x14ac:dyDescent="0.2">
      <c r="A119" s="10"/>
      <c r="B119" s="11" t="s">
        <v>12</v>
      </c>
      <c r="C119" s="11" t="s">
        <v>13</v>
      </c>
      <c r="D119" s="11">
        <v>25</v>
      </c>
      <c r="E119" s="7" t="s">
        <v>199</v>
      </c>
      <c r="F119" s="13">
        <v>43304</v>
      </c>
      <c r="G119" s="13" t="s">
        <v>86</v>
      </c>
      <c r="H119" s="11" t="s">
        <v>163</v>
      </c>
      <c r="I119" s="11" t="s">
        <v>16</v>
      </c>
      <c r="J119" s="11" t="s">
        <v>17</v>
      </c>
      <c r="K119" s="11">
        <v>21</v>
      </c>
      <c r="L119" s="11" t="s">
        <v>196</v>
      </c>
      <c r="M119" s="11" t="s">
        <v>87</v>
      </c>
      <c r="N119" s="14" t="s">
        <v>18</v>
      </c>
    </row>
    <row r="120" spans="1:14" ht="12.75" customHeight="1" x14ac:dyDescent="0.2">
      <c r="A120" s="10"/>
      <c r="B120" s="11" t="s">
        <v>12</v>
      </c>
      <c r="C120" s="11" t="s">
        <v>57</v>
      </c>
      <c r="D120" s="11">
        <v>13</v>
      </c>
      <c r="E120" s="7" t="s">
        <v>199</v>
      </c>
      <c r="F120" s="13">
        <v>43304</v>
      </c>
      <c r="G120" s="13" t="s">
        <v>86</v>
      </c>
      <c r="H120" s="11" t="s">
        <v>163</v>
      </c>
      <c r="I120" s="11" t="s">
        <v>16</v>
      </c>
      <c r="J120" s="11" t="s">
        <v>17</v>
      </c>
      <c r="K120" s="11">
        <v>21</v>
      </c>
      <c r="L120" s="11" t="s">
        <v>196</v>
      </c>
      <c r="M120" s="11" t="s">
        <v>87</v>
      </c>
      <c r="N120" s="14" t="s">
        <v>58</v>
      </c>
    </row>
    <row r="121" spans="1:14" x14ac:dyDescent="0.2">
      <c r="A121" s="10"/>
      <c r="B121" s="11" t="s">
        <v>12</v>
      </c>
      <c r="C121" s="11" t="s">
        <v>80</v>
      </c>
      <c r="D121" s="11">
        <v>10</v>
      </c>
      <c r="E121" s="7" t="s">
        <v>199</v>
      </c>
      <c r="F121" s="13">
        <v>43304</v>
      </c>
      <c r="G121" s="13" t="s">
        <v>86</v>
      </c>
      <c r="H121" s="11" t="s">
        <v>163</v>
      </c>
      <c r="I121" s="11" t="s">
        <v>16</v>
      </c>
      <c r="J121" s="11" t="s">
        <v>17</v>
      </c>
      <c r="K121" s="11">
        <v>21</v>
      </c>
      <c r="L121" s="11" t="s">
        <v>196</v>
      </c>
      <c r="M121" s="11" t="s">
        <v>87</v>
      </c>
      <c r="N121" s="14" t="s">
        <v>82</v>
      </c>
    </row>
    <row r="122" spans="1:14" x14ac:dyDescent="0.2">
      <c r="A122" s="10"/>
      <c r="B122" s="11" t="s">
        <v>12</v>
      </c>
      <c r="C122" s="11" t="s">
        <v>76</v>
      </c>
      <c r="D122" s="11">
        <v>3</v>
      </c>
      <c r="E122" s="7" t="s">
        <v>199</v>
      </c>
      <c r="F122" s="13">
        <v>43304</v>
      </c>
      <c r="G122" s="13" t="s">
        <v>86</v>
      </c>
      <c r="H122" s="11" t="s">
        <v>163</v>
      </c>
      <c r="I122" s="11" t="s">
        <v>16</v>
      </c>
      <c r="J122" s="11" t="s">
        <v>17</v>
      </c>
      <c r="K122" s="11">
        <v>21</v>
      </c>
      <c r="L122" s="11" t="s">
        <v>196</v>
      </c>
      <c r="M122" s="11" t="s">
        <v>87</v>
      </c>
      <c r="N122" s="14" t="s">
        <v>77</v>
      </c>
    </row>
    <row r="123" spans="1:14" x14ac:dyDescent="0.2">
      <c r="A123" s="10">
        <v>4701365929</v>
      </c>
      <c r="B123" s="11" t="s">
        <v>12</v>
      </c>
      <c r="C123" s="11" t="s">
        <v>44</v>
      </c>
      <c r="D123" s="11">
        <v>60</v>
      </c>
      <c r="E123" s="7" t="s">
        <v>199</v>
      </c>
      <c r="F123" s="13">
        <v>43304</v>
      </c>
      <c r="G123" s="13" t="s">
        <v>88</v>
      </c>
      <c r="H123" s="11" t="s">
        <v>179</v>
      </c>
      <c r="I123" s="11" t="s">
        <v>16</v>
      </c>
      <c r="J123" s="11" t="s">
        <v>17</v>
      </c>
      <c r="K123" s="11">
        <v>21</v>
      </c>
      <c r="L123" s="11" t="s">
        <v>196</v>
      </c>
      <c r="M123" s="11" t="s">
        <v>87</v>
      </c>
      <c r="N123" s="14" t="s">
        <v>45</v>
      </c>
    </row>
    <row r="124" spans="1:14" x14ac:dyDescent="0.2">
      <c r="A124" s="10"/>
      <c r="B124" s="11" t="s">
        <v>12</v>
      </c>
      <c r="C124" s="11" t="s">
        <v>13</v>
      </c>
      <c r="D124" s="11">
        <v>80</v>
      </c>
      <c r="E124" s="7" t="s">
        <v>199</v>
      </c>
      <c r="F124" s="13">
        <v>43304</v>
      </c>
      <c r="G124" s="13" t="s">
        <v>88</v>
      </c>
      <c r="H124" s="11" t="s">
        <v>179</v>
      </c>
      <c r="I124" s="11" t="s">
        <v>16</v>
      </c>
      <c r="J124" s="11" t="s">
        <v>17</v>
      </c>
      <c r="K124" s="11">
        <v>21</v>
      </c>
      <c r="L124" s="11" t="s">
        <v>196</v>
      </c>
      <c r="M124" s="11" t="s">
        <v>87</v>
      </c>
      <c r="N124" s="14" t="s">
        <v>18</v>
      </c>
    </row>
    <row r="125" spans="1:14" x14ac:dyDescent="0.2">
      <c r="A125" s="10"/>
      <c r="B125" s="11" t="s">
        <v>12</v>
      </c>
      <c r="C125" s="11" t="s">
        <v>57</v>
      </c>
      <c r="D125" s="11">
        <v>43</v>
      </c>
      <c r="E125" s="7" t="s">
        <v>199</v>
      </c>
      <c r="F125" s="13">
        <v>43304</v>
      </c>
      <c r="G125" s="13" t="s">
        <v>88</v>
      </c>
      <c r="H125" s="11" t="s">
        <v>179</v>
      </c>
      <c r="I125" s="11" t="s">
        <v>16</v>
      </c>
      <c r="J125" s="11" t="s">
        <v>17</v>
      </c>
      <c r="K125" s="11">
        <v>21</v>
      </c>
      <c r="L125" s="11" t="s">
        <v>196</v>
      </c>
      <c r="M125" s="11" t="s">
        <v>87</v>
      </c>
      <c r="N125" s="14" t="s">
        <v>58</v>
      </c>
    </row>
    <row r="126" spans="1:14" x14ac:dyDescent="0.2">
      <c r="A126" s="10"/>
      <c r="B126" s="11" t="s">
        <v>12</v>
      </c>
      <c r="C126" s="11" t="s">
        <v>80</v>
      </c>
      <c r="D126" s="11">
        <v>30</v>
      </c>
      <c r="E126" s="7" t="s">
        <v>199</v>
      </c>
      <c r="F126" s="13">
        <v>43304</v>
      </c>
      <c r="G126" s="13" t="s">
        <v>88</v>
      </c>
      <c r="H126" s="11" t="s">
        <v>179</v>
      </c>
      <c r="I126" s="11" t="s">
        <v>16</v>
      </c>
      <c r="J126" s="11" t="s">
        <v>17</v>
      </c>
      <c r="K126" s="11">
        <v>21</v>
      </c>
      <c r="L126" s="11" t="s">
        <v>196</v>
      </c>
      <c r="M126" s="11" t="s">
        <v>87</v>
      </c>
      <c r="N126" s="14" t="s">
        <v>82</v>
      </c>
    </row>
    <row r="127" spans="1:14" x14ac:dyDescent="0.2">
      <c r="A127" s="10"/>
      <c r="B127" s="11" t="s">
        <v>12</v>
      </c>
      <c r="C127" s="11" t="s">
        <v>76</v>
      </c>
      <c r="D127" s="11">
        <v>155</v>
      </c>
      <c r="E127" s="7" t="s">
        <v>199</v>
      </c>
      <c r="F127" s="13">
        <v>43304</v>
      </c>
      <c r="G127" s="13" t="s">
        <v>88</v>
      </c>
      <c r="H127" s="11" t="s">
        <v>179</v>
      </c>
      <c r="I127" s="11" t="s">
        <v>16</v>
      </c>
      <c r="J127" s="11" t="s">
        <v>17</v>
      </c>
      <c r="K127" s="11">
        <v>21</v>
      </c>
      <c r="L127" s="11" t="s">
        <v>196</v>
      </c>
      <c r="M127" s="11" t="s">
        <v>87</v>
      </c>
      <c r="N127" s="14" t="s">
        <v>77</v>
      </c>
    </row>
    <row r="128" spans="1:14" x14ac:dyDescent="0.2">
      <c r="A128" s="10">
        <v>4701365930</v>
      </c>
      <c r="B128" s="11" t="s">
        <v>12</v>
      </c>
      <c r="C128" s="11" t="s">
        <v>21</v>
      </c>
      <c r="D128" s="11">
        <v>32</v>
      </c>
      <c r="E128" s="7" t="s">
        <v>199</v>
      </c>
      <c r="F128" s="13">
        <v>43304</v>
      </c>
      <c r="G128" s="13" t="s">
        <v>89</v>
      </c>
      <c r="H128" s="11" t="s">
        <v>90</v>
      </c>
      <c r="I128" s="11" t="s">
        <v>24</v>
      </c>
      <c r="J128" s="11" t="s">
        <v>25</v>
      </c>
      <c r="K128" s="11">
        <v>22</v>
      </c>
      <c r="L128" s="11" t="s">
        <v>196</v>
      </c>
      <c r="M128" s="11"/>
      <c r="N128" s="14" t="s">
        <v>26</v>
      </c>
    </row>
    <row r="129" spans="1:16" x14ac:dyDescent="0.2">
      <c r="A129" s="10"/>
      <c r="B129" s="11" t="s">
        <v>92</v>
      </c>
      <c r="C129" s="11" t="s">
        <v>93</v>
      </c>
      <c r="D129" s="11">
        <v>1</v>
      </c>
      <c r="E129" s="7" t="s">
        <v>199</v>
      </c>
      <c r="F129" s="13">
        <v>43304</v>
      </c>
      <c r="G129" s="13" t="s">
        <v>89</v>
      </c>
      <c r="H129" s="11" t="s">
        <v>90</v>
      </c>
      <c r="I129" s="11" t="s">
        <v>24</v>
      </c>
      <c r="J129" s="11" t="s">
        <v>25</v>
      </c>
      <c r="K129" s="11">
        <v>22</v>
      </c>
      <c r="L129" s="11" t="s">
        <v>196</v>
      </c>
      <c r="M129" s="11"/>
      <c r="N129" s="14" t="s">
        <v>95</v>
      </c>
    </row>
    <row r="130" spans="1:16" x14ac:dyDescent="0.2">
      <c r="A130" s="10"/>
      <c r="B130" s="11" t="s">
        <v>92</v>
      </c>
      <c r="C130" s="11" t="s">
        <v>96</v>
      </c>
      <c r="D130" s="32">
        <f>24-24</f>
        <v>0</v>
      </c>
      <c r="E130" s="7" t="s">
        <v>199</v>
      </c>
      <c r="F130" s="13">
        <v>43304</v>
      </c>
      <c r="G130" s="13" t="s">
        <v>89</v>
      </c>
      <c r="H130" s="11" t="s">
        <v>90</v>
      </c>
      <c r="I130" s="11" t="s">
        <v>24</v>
      </c>
      <c r="J130" s="11" t="s">
        <v>25</v>
      </c>
      <c r="K130" s="11">
        <v>22</v>
      </c>
      <c r="L130" s="11" t="s">
        <v>196</v>
      </c>
      <c r="M130" s="11"/>
      <c r="N130" s="22" t="s">
        <v>97</v>
      </c>
    </row>
    <row r="131" spans="1:16" x14ac:dyDescent="0.2">
      <c r="A131" s="10"/>
      <c r="B131" s="11" t="s">
        <v>12</v>
      </c>
      <c r="C131" s="11" t="s">
        <v>49</v>
      </c>
      <c r="D131" s="32">
        <f>85+10</f>
        <v>95</v>
      </c>
      <c r="E131" s="9" t="s">
        <v>199</v>
      </c>
      <c r="F131" s="13">
        <v>43304</v>
      </c>
      <c r="G131" s="13" t="s">
        <v>89</v>
      </c>
      <c r="H131" s="11" t="s">
        <v>90</v>
      </c>
      <c r="I131" s="11" t="s">
        <v>24</v>
      </c>
      <c r="J131" s="11" t="s">
        <v>25</v>
      </c>
      <c r="K131" s="11">
        <v>22</v>
      </c>
      <c r="L131" s="11" t="s">
        <v>196</v>
      </c>
      <c r="M131" s="11"/>
      <c r="N131" s="22" t="s">
        <v>50</v>
      </c>
    </row>
    <row r="132" spans="1:16" x14ac:dyDescent="0.2">
      <c r="A132" s="10">
        <v>4701365931</v>
      </c>
      <c r="B132" s="11" t="s">
        <v>12</v>
      </c>
      <c r="C132" s="11" t="s">
        <v>13</v>
      </c>
      <c r="D132" s="11">
        <v>11</v>
      </c>
      <c r="E132" s="9" t="s">
        <v>199</v>
      </c>
      <c r="F132" s="13">
        <v>43304</v>
      </c>
      <c r="G132" s="13" t="s">
        <v>89</v>
      </c>
      <c r="H132" s="11" t="s">
        <v>90</v>
      </c>
      <c r="I132" s="11" t="s">
        <v>16</v>
      </c>
      <c r="J132" s="11" t="s">
        <v>17</v>
      </c>
      <c r="K132" s="11">
        <v>22</v>
      </c>
      <c r="L132" s="11" t="s">
        <v>196</v>
      </c>
      <c r="M132" s="11"/>
      <c r="N132" s="14" t="s">
        <v>18</v>
      </c>
    </row>
    <row r="133" spans="1:16" x14ac:dyDescent="0.2">
      <c r="A133" s="10"/>
      <c r="B133" s="11" t="s">
        <v>12</v>
      </c>
      <c r="C133" s="11" t="s">
        <v>65</v>
      </c>
      <c r="D133" s="11">
        <v>5</v>
      </c>
      <c r="E133" s="9" t="s">
        <v>199</v>
      </c>
      <c r="F133" s="13">
        <v>43304</v>
      </c>
      <c r="G133" s="13" t="s">
        <v>89</v>
      </c>
      <c r="H133" s="11" t="s">
        <v>90</v>
      </c>
      <c r="I133" s="11" t="s">
        <v>16</v>
      </c>
      <c r="J133" s="11" t="s">
        <v>17</v>
      </c>
      <c r="K133" s="11">
        <v>22</v>
      </c>
      <c r="L133" s="11" t="s">
        <v>196</v>
      </c>
      <c r="M133" s="11"/>
      <c r="N133" s="14" t="s">
        <v>66</v>
      </c>
    </row>
    <row r="134" spans="1:16" x14ac:dyDescent="0.2">
      <c r="A134" s="10"/>
      <c r="B134" s="11" t="s">
        <v>12</v>
      </c>
      <c r="C134" s="11" t="s">
        <v>40</v>
      </c>
      <c r="D134" s="11">
        <v>5</v>
      </c>
      <c r="E134" s="9" t="s">
        <v>199</v>
      </c>
      <c r="F134" s="13">
        <v>43304</v>
      </c>
      <c r="G134" s="13" t="s">
        <v>89</v>
      </c>
      <c r="H134" s="11" t="s">
        <v>90</v>
      </c>
      <c r="I134" s="11" t="s">
        <v>16</v>
      </c>
      <c r="J134" s="11" t="s">
        <v>17</v>
      </c>
      <c r="K134" s="11">
        <v>22</v>
      </c>
      <c r="L134" s="11" t="s">
        <v>196</v>
      </c>
      <c r="M134" s="11"/>
      <c r="N134" s="14" t="s">
        <v>41</v>
      </c>
    </row>
    <row r="135" spans="1:16" x14ac:dyDescent="0.2">
      <c r="A135" s="10"/>
      <c r="B135" s="11" t="s">
        <v>12</v>
      </c>
      <c r="C135" s="11" t="s">
        <v>80</v>
      </c>
      <c r="D135" s="11">
        <v>5</v>
      </c>
      <c r="E135" s="9" t="s">
        <v>199</v>
      </c>
      <c r="F135" s="13">
        <v>43304</v>
      </c>
      <c r="G135" s="13" t="s">
        <v>89</v>
      </c>
      <c r="H135" s="11" t="s">
        <v>90</v>
      </c>
      <c r="I135" s="11" t="s">
        <v>16</v>
      </c>
      <c r="J135" s="11" t="s">
        <v>17</v>
      </c>
      <c r="K135" s="11">
        <v>22</v>
      </c>
      <c r="L135" s="11" t="s">
        <v>196</v>
      </c>
      <c r="M135" s="11"/>
      <c r="N135" s="14" t="s">
        <v>82</v>
      </c>
    </row>
    <row r="136" spans="1:16" x14ac:dyDescent="0.2">
      <c r="A136" s="10"/>
      <c r="B136" s="11" t="s">
        <v>12</v>
      </c>
      <c r="C136" s="11" t="s">
        <v>78</v>
      </c>
      <c r="D136" s="11">
        <v>260</v>
      </c>
      <c r="E136" s="9" t="s">
        <v>199</v>
      </c>
      <c r="F136" s="13">
        <v>43304</v>
      </c>
      <c r="G136" s="13" t="s">
        <v>89</v>
      </c>
      <c r="H136" s="11" t="s">
        <v>90</v>
      </c>
      <c r="I136" s="11" t="s">
        <v>16</v>
      </c>
      <c r="J136" s="11" t="s">
        <v>17</v>
      </c>
      <c r="K136" s="11">
        <v>22</v>
      </c>
      <c r="L136" s="11" t="s">
        <v>196</v>
      </c>
      <c r="M136" s="11"/>
      <c r="N136" s="14" t="s">
        <v>79</v>
      </c>
    </row>
    <row r="137" spans="1:16" x14ac:dyDescent="0.2">
      <c r="A137" s="10">
        <v>4701365934</v>
      </c>
      <c r="B137" s="11" t="s">
        <v>12</v>
      </c>
      <c r="C137" s="11" t="s">
        <v>44</v>
      </c>
      <c r="D137" s="11">
        <v>100</v>
      </c>
      <c r="E137" s="7" t="s">
        <v>199</v>
      </c>
      <c r="F137" s="13">
        <v>43304</v>
      </c>
      <c r="G137" s="13" t="s">
        <v>91</v>
      </c>
      <c r="H137" s="11" t="s">
        <v>166</v>
      </c>
      <c r="I137" s="11" t="s">
        <v>16</v>
      </c>
      <c r="J137" s="11" t="s">
        <v>17</v>
      </c>
      <c r="K137" s="11">
        <v>24</v>
      </c>
      <c r="L137" s="11" t="s">
        <v>196</v>
      </c>
      <c r="M137" s="11"/>
      <c r="N137" s="14" t="s">
        <v>45</v>
      </c>
    </row>
    <row r="138" spans="1:16" x14ac:dyDescent="0.2">
      <c r="A138" s="10"/>
      <c r="B138" s="11" t="s">
        <v>12</v>
      </c>
      <c r="C138" s="11" t="s">
        <v>13</v>
      </c>
      <c r="D138" s="11">
        <v>200</v>
      </c>
      <c r="E138" s="7" t="s">
        <v>199</v>
      </c>
      <c r="F138" s="13">
        <v>43304</v>
      </c>
      <c r="G138" s="13" t="s">
        <v>91</v>
      </c>
      <c r="H138" s="11" t="s">
        <v>166</v>
      </c>
      <c r="I138" s="11" t="s">
        <v>16</v>
      </c>
      <c r="J138" s="11" t="s">
        <v>17</v>
      </c>
      <c r="K138" s="11">
        <v>24</v>
      </c>
      <c r="L138" s="11" t="s">
        <v>196</v>
      </c>
      <c r="M138" s="11"/>
      <c r="N138" s="14" t="s">
        <v>18</v>
      </c>
      <c r="P138" s="7"/>
    </row>
    <row r="139" spans="1:16" x14ac:dyDescent="0.2">
      <c r="A139" s="10"/>
      <c r="B139" s="11" t="s">
        <v>12</v>
      </c>
      <c r="C139" s="11" t="s">
        <v>76</v>
      </c>
      <c r="D139" s="11">
        <v>126</v>
      </c>
      <c r="E139" s="9" t="s">
        <v>199</v>
      </c>
      <c r="F139" s="13">
        <v>43304</v>
      </c>
      <c r="G139" s="13" t="s">
        <v>91</v>
      </c>
      <c r="H139" s="11" t="s">
        <v>166</v>
      </c>
      <c r="I139" s="11" t="s">
        <v>16</v>
      </c>
      <c r="J139" s="11" t="s">
        <v>17</v>
      </c>
      <c r="K139" s="11">
        <v>24</v>
      </c>
      <c r="L139" s="11" t="s">
        <v>196</v>
      </c>
      <c r="M139" s="11"/>
      <c r="N139" s="14" t="s">
        <v>77</v>
      </c>
      <c r="P139" s="7"/>
    </row>
    <row r="140" spans="1:16" x14ac:dyDescent="0.2">
      <c r="A140" s="10">
        <v>4701365935</v>
      </c>
      <c r="B140" s="11" t="s">
        <v>92</v>
      </c>
      <c r="C140" s="11" t="s">
        <v>93</v>
      </c>
      <c r="D140" s="11">
        <v>2</v>
      </c>
      <c r="E140" s="9" t="s">
        <v>199</v>
      </c>
      <c r="F140" s="13">
        <v>43304</v>
      </c>
      <c r="G140" s="13" t="s">
        <v>94</v>
      </c>
      <c r="H140" s="11" t="s">
        <v>167</v>
      </c>
      <c r="I140" s="11" t="s">
        <v>24</v>
      </c>
      <c r="J140" s="11" t="s">
        <v>25</v>
      </c>
      <c r="K140" s="11">
        <v>25</v>
      </c>
      <c r="L140" s="11" t="s">
        <v>196</v>
      </c>
      <c r="M140" s="11"/>
      <c r="N140" s="14" t="s">
        <v>95</v>
      </c>
    </row>
    <row r="141" spans="1:16" x14ac:dyDescent="0.2">
      <c r="A141" s="10"/>
      <c r="B141" s="11" t="s">
        <v>92</v>
      </c>
      <c r="C141" s="11" t="s">
        <v>96</v>
      </c>
      <c r="D141" s="32">
        <f>10-10</f>
        <v>0</v>
      </c>
      <c r="E141" s="9" t="s">
        <v>199</v>
      </c>
      <c r="F141" s="13">
        <v>43304</v>
      </c>
      <c r="G141" s="13" t="s">
        <v>94</v>
      </c>
      <c r="H141" s="11" t="s">
        <v>167</v>
      </c>
      <c r="I141" s="11" t="s">
        <v>24</v>
      </c>
      <c r="J141" s="11" t="s">
        <v>25</v>
      </c>
      <c r="K141" s="11">
        <v>25</v>
      </c>
      <c r="L141" s="11" t="s">
        <v>196</v>
      </c>
      <c r="M141" s="11"/>
      <c r="N141" s="14" t="s">
        <v>97</v>
      </c>
    </row>
    <row r="142" spans="1:16" x14ac:dyDescent="0.2">
      <c r="A142" s="10"/>
      <c r="B142" s="11" t="s">
        <v>12</v>
      </c>
      <c r="C142" s="11" t="s">
        <v>49</v>
      </c>
      <c r="D142" s="11">
        <v>71</v>
      </c>
      <c r="E142" s="9" t="s">
        <v>199</v>
      </c>
      <c r="F142" s="13">
        <v>43304</v>
      </c>
      <c r="G142" s="13" t="s">
        <v>94</v>
      </c>
      <c r="H142" s="11" t="s">
        <v>167</v>
      </c>
      <c r="I142" s="11" t="s">
        <v>24</v>
      </c>
      <c r="J142" s="11" t="s">
        <v>25</v>
      </c>
      <c r="K142" s="11">
        <v>25</v>
      </c>
      <c r="L142" s="11" t="s">
        <v>196</v>
      </c>
      <c r="M142" s="11"/>
      <c r="N142" s="14" t="s">
        <v>50</v>
      </c>
    </row>
    <row r="143" spans="1:16" x14ac:dyDescent="0.2">
      <c r="A143" s="10">
        <v>4701365936</v>
      </c>
      <c r="B143" s="11" t="s">
        <v>12</v>
      </c>
      <c r="C143" s="11" t="s">
        <v>44</v>
      </c>
      <c r="D143" s="11">
        <v>2</v>
      </c>
      <c r="E143" s="9" t="s">
        <v>199</v>
      </c>
      <c r="F143" s="13">
        <v>43304</v>
      </c>
      <c r="G143" s="13" t="s">
        <v>94</v>
      </c>
      <c r="H143" s="11" t="s">
        <v>167</v>
      </c>
      <c r="I143" s="11" t="s">
        <v>16</v>
      </c>
      <c r="J143" s="11" t="s">
        <v>17</v>
      </c>
      <c r="K143" s="11">
        <v>25</v>
      </c>
      <c r="L143" s="11" t="s">
        <v>196</v>
      </c>
      <c r="M143" s="11"/>
      <c r="N143" s="14" t="s">
        <v>45</v>
      </c>
    </row>
    <row r="144" spans="1:16" x14ac:dyDescent="0.2">
      <c r="A144" s="10"/>
      <c r="B144" s="11" t="s">
        <v>12</v>
      </c>
      <c r="C144" s="11" t="s">
        <v>19</v>
      </c>
      <c r="D144" s="11">
        <v>70</v>
      </c>
      <c r="E144" s="7" t="s">
        <v>199</v>
      </c>
      <c r="F144" s="13">
        <v>43304</v>
      </c>
      <c r="G144" s="13" t="s">
        <v>94</v>
      </c>
      <c r="H144" s="11" t="s">
        <v>167</v>
      </c>
      <c r="I144" s="11" t="s">
        <v>16</v>
      </c>
      <c r="J144" s="11" t="s">
        <v>17</v>
      </c>
      <c r="K144" s="11">
        <v>25</v>
      </c>
      <c r="L144" s="11" t="s">
        <v>196</v>
      </c>
      <c r="M144" s="11"/>
      <c r="N144" s="14" t="s">
        <v>20</v>
      </c>
    </row>
    <row r="145" spans="1:15" x14ac:dyDescent="0.2">
      <c r="A145" s="10"/>
      <c r="B145" s="11" t="s">
        <v>12</v>
      </c>
      <c r="C145" s="11" t="s">
        <v>65</v>
      </c>
      <c r="D145" s="11">
        <v>10</v>
      </c>
      <c r="E145" s="7" t="s">
        <v>199</v>
      </c>
      <c r="F145" s="13">
        <v>43304</v>
      </c>
      <c r="G145" s="13" t="s">
        <v>94</v>
      </c>
      <c r="H145" s="11" t="s">
        <v>167</v>
      </c>
      <c r="I145" s="11" t="s">
        <v>16</v>
      </c>
      <c r="J145" s="11" t="s">
        <v>17</v>
      </c>
      <c r="K145" s="11">
        <v>25</v>
      </c>
      <c r="L145" s="11" t="s">
        <v>196</v>
      </c>
      <c r="M145" s="11"/>
      <c r="N145" s="14" t="s">
        <v>66</v>
      </c>
    </row>
    <row r="146" spans="1:15" x14ac:dyDescent="0.2">
      <c r="A146" s="10"/>
      <c r="B146" s="11" t="s">
        <v>12</v>
      </c>
      <c r="C146" s="11" t="s">
        <v>40</v>
      </c>
      <c r="D146" s="11">
        <v>50</v>
      </c>
      <c r="E146" s="9" t="s">
        <v>199</v>
      </c>
      <c r="F146" s="13">
        <v>43304</v>
      </c>
      <c r="G146" s="13" t="s">
        <v>94</v>
      </c>
      <c r="H146" s="11" t="s">
        <v>167</v>
      </c>
      <c r="I146" s="11" t="s">
        <v>16</v>
      </c>
      <c r="J146" s="11" t="s">
        <v>17</v>
      </c>
      <c r="K146" s="11">
        <v>25</v>
      </c>
      <c r="L146" s="11" t="s">
        <v>196</v>
      </c>
      <c r="M146" s="11"/>
      <c r="N146" s="14" t="s">
        <v>41</v>
      </c>
    </row>
    <row r="147" spans="1:15" x14ac:dyDescent="0.2">
      <c r="A147" s="10"/>
      <c r="B147" s="11" t="s">
        <v>12</v>
      </c>
      <c r="C147" s="11" t="s">
        <v>57</v>
      </c>
      <c r="D147" s="11">
        <v>20</v>
      </c>
      <c r="E147" s="9" t="s">
        <v>199</v>
      </c>
      <c r="F147" s="13">
        <v>43304</v>
      </c>
      <c r="G147" s="13" t="s">
        <v>94</v>
      </c>
      <c r="H147" s="11" t="s">
        <v>167</v>
      </c>
      <c r="I147" s="11" t="s">
        <v>16</v>
      </c>
      <c r="J147" s="11" t="s">
        <v>17</v>
      </c>
      <c r="K147" s="11">
        <v>25</v>
      </c>
      <c r="L147" s="11" t="s">
        <v>196</v>
      </c>
      <c r="M147" s="11"/>
      <c r="N147" s="14" t="s">
        <v>58</v>
      </c>
    </row>
    <row r="148" spans="1:15" x14ac:dyDescent="0.2">
      <c r="A148" s="10"/>
      <c r="B148" s="11" t="s">
        <v>12</v>
      </c>
      <c r="C148" s="11" t="s">
        <v>78</v>
      </c>
      <c r="D148" s="11">
        <v>186</v>
      </c>
      <c r="E148" s="7" t="s">
        <v>199</v>
      </c>
      <c r="F148" s="13">
        <v>43304</v>
      </c>
      <c r="G148" s="13" t="s">
        <v>94</v>
      </c>
      <c r="H148" s="11" t="s">
        <v>167</v>
      </c>
      <c r="I148" s="11" t="s">
        <v>16</v>
      </c>
      <c r="J148" s="11" t="s">
        <v>17</v>
      </c>
      <c r="K148" s="11">
        <v>25</v>
      </c>
      <c r="L148" s="11" t="s">
        <v>196</v>
      </c>
      <c r="M148" s="11"/>
      <c r="N148" s="14" t="s">
        <v>79</v>
      </c>
    </row>
    <row r="149" spans="1:15" x14ac:dyDescent="0.2">
      <c r="A149" s="10">
        <v>4701365937</v>
      </c>
      <c r="B149" s="11" t="s">
        <v>92</v>
      </c>
      <c r="C149" s="11" t="s">
        <v>93</v>
      </c>
      <c r="D149" s="11">
        <v>1</v>
      </c>
      <c r="E149" s="7" t="s">
        <v>199</v>
      </c>
      <c r="F149" s="13">
        <v>43304</v>
      </c>
      <c r="G149" s="13" t="s">
        <v>98</v>
      </c>
      <c r="H149" s="11" t="s">
        <v>158</v>
      </c>
      <c r="I149" s="11" t="s">
        <v>24</v>
      </c>
      <c r="J149" s="11" t="s">
        <v>25</v>
      </c>
      <c r="K149" s="11">
        <v>26</v>
      </c>
      <c r="L149" s="11" t="s">
        <v>196</v>
      </c>
      <c r="M149" s="11" t="s">
        <v>99</v>
      </c>
      <c r="N149" s="14" t="s">
        <v>95</v>
      </c>
    </row>
    <row r="150" spans="1:15" x14ac:dyDescent="0.2">
      <c r="A150" s="10">
        <v>4701365938</v>
      </c>
      <c r="B150" s="11" t="s">
        <v>33</v>
      </c>
      <c r="C150" s="11" t="s">
        <v>34</v>
      </c>
      <c r="D150" s="11">
        <v>30</v>
      </c>
      <c r="E150" s="7" t="s">
        <v>199</v>
      </c>
      <c r="F150" s="13">
        <v>43304</v>
      </c>
      <c r="G150" s="13" t="s">
        <v>98</v>
      </c>
      <c r="H150" s="11" t="s">
        <v>158</v>
      </c>
      <c r="I150" s="11" t="s">
        <v>24</v>
      </c>
      <c r="J150" s="11" t="s">
        <v>25</v>
      </c>
      <c r="K150" s="11">
        <v>26</v>
      </c>
      <c r="L150" s="11" t="s">
        <v>196</v>
      </c>
      <c r="M150" s="11" t="s">
        <v>99</v>
      </c>
      <c r="N150" s="14" t="s">
        <v>35</v>
      </c>
    </row>
    <row r="151" spans="1:15" x14ac:dyDescent="0.2">
      <c r="A151" s="10"/>
      <c r="B151" s="11" t="s">
        <v>33</v>
      </c>
      <c r="C151" s="11" t="s">
        <v>36</v>
      </c>
      <c r="D151" s="11">
        <v>18</v>
      </c>
      <c r="E151" s="7" t="s">
        <v>199</v>
      </c>
      <c r="F151" s="13">
        <v>43304</v>
      </c>
      <c r="G151" s="13" t="s">
        <v>98</v>
      </c>
      <c r="H151" s="11" t="s">
        <v>158</v>
      </c>
      <c r="I151" s="11" t="s">
        <v>24</v>
      </c>
      <c r="J151" s="11" t="s">
        <v>25</v>
      </c>
      <c r="K151" s="11">
        <v>26</v>
      </c>
      <c r="L151" s="11" t="s">
        <v>196</v>
      </c>
      <c r="M151" s="11" t="s">
        <v>99</v>
      </c>
      <c r="N151" s="14" t="s">
        <v>37</v>
      </c>
    </row>
    <row r="152" spans="1:15" x14ac:dyDescent="0.2">
      <c r="A152" s="10"/>
      <c r="B152" s="11" t="s">
        <v>33</v>
      </c>
      <c r="C152" s="11" t="s">
        <v>53</v>
      </c>
      <c r="D152" s="11">
        <v>15</v>
      </c>
      <c r="E152" s="7" t="s">
        <v>199</v>
      </c>
      <c r="F152" s="13">
        <v>43304</v>
      </c>
      <c r="G152" s="13" t="s">
        <v>98</v>
      </c>
      <c r="H152" s="11" t="s">
        <v>158</v>
      </c>
      <c r="I152" s="11" t="s">
        <v>24</v>
      </c>
      <c r="J152" s="11" t="s">
        <v>25</v>
      </c>
      <c r="K152" s="11">
        <v>26</v>
      </c>
      <c r="L152" s="11" t="s">
        <v>196</v>
      </c>
      <c r="M152" s="11" t="s">
        <v>99</v>
      </c>
      <c r="N152" s="14" t="s">
        <v>54</v>
      </c>
    </row>
    <row r="153" spans="1:15" x14ac:dyDescent="0.2">
      <c r="A153" s="10">
        <v>4701365939</v>
      </c>
      <c r="B153" s="11" t="s">
        <v>12</v>
      </c>
      <c r="C153" s="11" t="s">
        <v>13</v>
      </c>
      <c r="D153" s="11">
        <v>135</v>
      </c>
      <c r="E153" s="7" t="s">
        <v>199</v>
      </c>
      <c r="F153" s="13">
        <v>43304</v>
      </c>
      <c r="G153" s="13" t="s">
        <v>98</v>
      </c>
      <c r="H153" s="11" t="s">
        <v>158</v>
      </c>
      <c r="I153" s="11" t="s">
        <v>16</v>
      </c>
      <c r="J153" s="11" t="s">
        <v>17</v>
      </c>
      <c r="K153" s="11">
        <v>26</v>
      </c>
      <c r="L153" s="11" t="s">
        <v>196</v>
      </c>
      <c r="M153" s="11" t="s">
        <v>99</v>
      </c>
      <c r="N153" s="14" t="s">
        <v>18</v>
      </c>
    </row>
    <row r="154" spans="1:15" x14ac:dyDescent="0.2">
      <c r="A154" s="10"/>
      <c r="B154" s="11" t="s">
        <v>12</v>
      </c>
      <c r="C154" s="11" t="s">
        <v>57</v>
      </c>
      <c r="D154" s="11">
        <v>14</v>
      </c>
      <c r="E154" s="9" t="s">
        <v>199</v>
      </c>
      <c r="F154" s="13">
        <v>43304</v>
      </c>
      <c r="G154" s="13" t="s">
        <v>98</v>
      </c>
      <c r="H154" s="11" t="s">
        <v>158</v>
      </c>
      <c r="I154" s="11" t="s">
        <v>16</v>
      </c>
      <c r="J154" s="11" t="s">
        <v>17</v>
      </c>
      <c r="K154" s="11">
        <v>26</v>
      </c>
      <c r="L154" s="11" t="s">
        <v>196</v>
      </c>
      <c r="M154" s="11" t="s">
        <v>99</v>
      </c>
      <c r="N154" s="14" t="s">
        <v>58</v>
      </c>
    </row>
    <row r="155" spans="1:15" x14ac:dyDescent="0.2">
      <c r="A155" s="10"/>
      <c r="B155" s="11" t="s">
        <v>12</v>
      </c>
      <c r="C155" s="11" t="s">
        <v>76</v>
      </c>
      <c r="D155" s="11">
        <v>23</v>
      </c>
      <c r="E155" s="9" t="s">
        <v>199</v>
      </c>
      <c r="F155" s="13">
        <v>43304</v>
      </c>
      <c r="G155" s="13" t="s">
        <v>98</v>
      </c>
      <c r="H155" s="11" t="s">
        <v>158</v>
      </c>
      <c r="I155" s="11" t="s">
        <v>16</v>
      </c>
      <c r="J155" s="11" t="s">
        <v>17</v>
      </c>
      <c r="K155" s="11">
        <v>26</v>
      </c>
      <c r="L155" s="11" t="s">
        <v>196</v>
      </c>
      <c r="M155" s="11" t="s">
        <v>99</v>
      </c>
      <c r="N155" s="14" t="s">
        <v>77</v>
      </c>
    </row>
    <row r="156" spans="1:15" x14ac:dyDescent="0.2">
      <c r="A156" s="10">
        <v>4701365940</v>
      </c>
      <c r="B156" s="11" t="s">
        <v>33</v>
      </c>
      <c r="C156" s="11" t="s">
        <v>36</v>
      </c>
      <c r="D156" s="11">
        <v>18</v>
      </c>
      <c r="E156" s="7" t="s">
        <v>199</v>
      </c>
      <c r="F156" s="13">
        <v>43304</v>
      </c>
      <c r="G156" s="13" t="s">
        <v>100</v>
      </c>
      <c r="H156" s="11" t="s">
        <v>101</v>
      </c>
      <c r="I156" s="11" t="s">
        <v>24</v>
      </c>
      <c r="J156" s="11" t="s">
        <v>25</v>
      </c>
      <c r="K156" s="11">
        <v>26</v>
      </c>
      <c r="L156" s="11" t="s">
        <v>196</v>
      </c>
      <c r="M156" s="11" t="s">
        <v>99</v>
      </c>
      <c r="N156" s="14" t="s">
        <v>37</v>
      </c>
    </row>
    <row r="157" spans="1:15" x14ac:dyDescent="0.2">
      <c r="A157" s="10">
        <v>4701365941</v>
      </c>
      <c r="B157" s="11" t="s">
        <v>12</v>
      </c>
      <c r="C157" s="11" t="s">
        <v>44</v>
      </c>
      <c r="D157" s="11">
        <v>10</v>
      </c>
      <c r="E157" s="9" t="s">
        <v>199</v>
      </c>
      <c r="F157" s="13">
        <v>43304</v>
      </c>
      <c r="G157" s="13" t="s">
        <v>100</v>
      </c>
      <c r="H157" s="11" t="s">
        <v>101</v>
      </c>
      <c r="I157" s="11" t="s">
        <v>16</v>
      </c>
      <c r="J157" s="11" t="s">
        <v>17</v>
      </c>
      <c r="K157" s="11">
        <v>26</v>
      </c>
      <c r="L157" s="11" t="s">
        <v>196</v>
      </c>
      <c r="M157" s="11" t="s">
        <v>99</v>
      </c>
      <c r="N157" s="14" t="s">
        <v>45</v>
      </c>
    </row>
    <row r="158" spans="1:15" x14ac:dyDescent="0.2">
      <c r="A158" s="10"/>
      <c r="B158" s="11" t="s">
        <v>12</v>
      </c>
      <c r="C158" s="11" t="s">
        <v>13</v>
      </c>
      <c r="D158" s="11">
        <v>90</v>
      </c>
      <c r="E158" s="9" t="s">
        <v>199</v>
      </c>
      <c r="F158" s="13">
        <v>43304</v>
      </c>
      <c r="G158" s="13" t="s">
        <v>100</v>
      </c>
      <c r="H158" s="11" t="s">
        <v>101</v>
      </c>
      <c r="I158" s="11" t="s">
        <v>16</v>
      </c>
      <c r="J158" s="11" t="s">
        <v>17</v>
      </c>
      <c r="K158" s="11">
        <v>26</v>
      </c>
      <c r="L158" s="11" t="s">
        <v>196</v>
      </c>
      <c r="M158" s="11" t="s">
        <v>99</v>
      </c>
      <c r="N158" s="14" t="s">
        <v>18</v>
      </c>
    </row>
    <row r="159" spans="1:15" x14ac:dyDescent="0.2">
      <c r="A159" s="10"/>
      <c r="B159" s="11" t="s">
        <v>12</v>
      </c>
      <c r="C159" s="11" t="s">
        <v>57</v>
      </c>
      <c r="D159" s="11">
        <v>10</v>
      </c>
      <c r="E159" s="9" t="s">
        <v>199</v>
      </c>
      <c r="F159" s="13">
        <v>43304</v>
      </c>
      <c r="G159" s="13" t="s">
        <v>100</v>
      </c>
      <c r="H159" s="11" t="s">
        <v>101</v>
      </c>
      <c r="I159" s="11" t="s">
        <v>16</v>
      </c>
      <c r="J159" s="11" t="s">
        <v>17</v>
      </c>
      <c r="K159" s="11">
        <v>26</v>
      </c>
      <c r="L159" s="11" t="s">
        <v>196</v>
      </c>
      <c r="M159" s="11" t="s">
        <v>99</v>
      </c>
      <c r="N159" s="14" t="s">
        <v>58</v>
      </c>
    </row>
    <row r="160" spans="1:15" x14ac:dyDescent="0.2">
      <c r="A160" s="10"/>
      <c r="B160" s="11" t="s">
        <v>12</v>
      </c>
      <c r="C160" s="11" t="s">
        <v>76</v>
      </c>
      <c r="D160" s="11">
        <v>11</v>
      </c>
      <c r="E160" s="9" t="s">
        <v>199</v>
      </c>
      <c r="F160" s="13">
        <v>43304</v>
      </c>
      <c r="G160" s="13" t="s">
        <v>100</v>
      </c>
      <c r="H160" s="11" t="s">
        <v>101</v>
      </c>
      <c r="I160" s="11" t="s">
        <v>16</v>
      </c>
      <c r="J160" s="11" t="s">
        <v>17</v>
      </c>
      <c r="K160" s="11">
        <v>26</v>
      </c>
      <c r="L160" s="11" t="s">
        <v>196</v>
      </c>
      <c r="M160" s="11" t="s">
        <v>99</v>
      </c>
      <c r="N160" s="14" t="s">
        <v>77</v>
      </c>
      <c r="O160" s="15"/>
    </row>
    <row r="161" spans="1:15" x14ac:dyDescent="0.2">
      <c r="A161" s="10">
        <v>4701365942</v>
      </c>
      <c r="B161" s="11" t="s">
        <v>12</v>
      </c>
      <c r="C161" s="11" t="s">
        <v>44</v>
      </c>
      <c r="D161" s="11">
        <v>13</v>
      </c>
      <c r="E161" s="9" t="s">
        <v>199</v>
      </c>
      <c r="F161" s="13">
        <v>43304</v>
      </c>
      <c r="G161" s="13" t="s">
        <v>102</v>
      </c>
      <c r="H161" s="11" t="s">
        <v>186</v>
      </c>
      <c r="I161" s="11" t="s">
        <v>16</v>
      </c>
      <c r="J161" s="11" t="s">
        <v>17</v>
      </c>
      <c r="K161" s="11">
        <v>27</v>
      </c>
      <c r="L161" s="11" t="s">
        <v>196</v>
      </c>
      <c r="M161" s="11" t="s">
        <v>103</v>
      </c>
      <c r="N161" s="14" t="s">
        <v>45</v>
      </c>
    </row>
    <row r="162" spans="1:15" x14ac:dyDescent="0.2">
      <c r="A162" s="10"/>
      <c r="B162" s="11" t="s">
        <v>12</v>
      </c>
      <c r="C162" s="11" t="s">
        <v>13</v>
      </c>
      <c r="D162" s="11">
        <v>175</v>
      </c>
      <c r="E162" s="9" t="s">
        <v>199</v>
      </c>
      <c r="F162" s="13">
        <v>43304</v>
      </c>
      <c r="G162" s="13" t="s">
        <v>102</v>
      </c>
      <c r="H162" s="11" t="s">
        <v>186</v>
      </c>
      <c r="I162" s="11" t="s">
        <v>16</v>
      </c>
      <c r="J162" s="11" t="s">
        <v>17</v>
      </c>
      <c r="K162" s="11">
        <v>27</v>
      </c>
      <c r="L162" s="11" t="s">
        <v>196</v>
      </c>
      <c r="M162" s="11" t="s">
        <v>103</v>
      </c>
      <c r="N162" s="14" t="s">
        <v>18</v>
      </c>
    </row>
    <row r="163" spans="1:15" x14ac:dyDescent="0.2">
      <c r="A163" s="10"/>
      <c r="B163" s="11" t="s">
        <v>12</v>
      </c>
      <c r="C163" s="11" t="s">
        <v>76</v>
      </c>
      <c r="D163" s="11">
        <v>1</v>
      </c>
      <c r="E163" s="9" t="s">
        <v>199</v>
      </c>
      <c r="F163" s="13">
        <v>43304</v>
      </c>
      <c r="G163" s="13" t="s">
        <v>102</v>
      </c>
      <c r="H163" s="11" t="s">
        <v>186</v>
      </c>
      <c r="I163" s="11" t="s">
        <v>16</v>
      </c>
      <c r="J163" s="11" t="s">
        <v>17</v>
      </c>
      <c r="K163" s="11">
        <v>27</v>
      </c>
      <c r="L163" s="11" t="s">
        <v>196</v>
      </c>
      <c r="M163" s="11" t="s">
        <v>103</v>
      </c>
      <c r="N163" s="14" t="s">
        <v>77</v>
      </c>
      <c r="O163" s="15"/>
    </row>
    <row r="164" spans="1:15" x14ac:dyDescent="0.2">
      <c r="A164" s="10">
        <v>4701365943</v>
      </c>
      <c r="B164" s="11" t="s">
        <v>12</v>
      </c>
      <c r="C164" s="11" t="s">
        <v>13</v>
      </c>
      <c r="D164" s="11">
        <v>140</v>
      </c>
      <c r="E164" s="9" t="s">
        <v>199</v>
      </c>
      <c r="F164" s="13">
        <v>43304</v>
      </c>
      <c r="G164" s="13" t="s">
        <v>104</v>
      </c>
      <c r="H164" s="11" t="s">
        <v>157</v>
      </c>
      <c r="I164" s="11" t="s">
        <v>16</v>
      </c>
      <c r="J164" s="11" t="s">
        <v>17</v>
      </c>
      <c r="K164" s="11">
        <v>27</v>
      </c>
      <c r="L164" s="11" t="s">
        <v>196</v>
      </c>
      <c r="M164" s="11" t="s">
        <v>103</v>
      </c>
      <c r="N164" s="14" t="s">
        <v>18</v>
      </c>
      <c r="O164" s="15"/>
    </row>
    <row r="165" spans="1:15" x14ac:dyDescent="0.2">
      <c r="A165" s="10"/>
      <c r="B165" s="11" t="s">
        <v>12</v>
      </c>
      <c r="C165" s="11" t="s">
        <v>76</v>
      </c>
      <c r="D165" s="11">
        <v>8</v>
      </c>
      <c r="E165" s="7" t="s">
        <v>199</v>
      </c>
      <c r="F165" s="13">
        <v>43304</v>
      </c>
      <c r="G165" s="13" t="s">
        <v>104</v>
      </c>
      <c r="H165" s="11" t="s">
        <v>157</v>
      </c>
      <c r="I165" s="11" t="s">
        <v>16</v>
      </c>
      <c r="J165" s="11" t="s">
        <v>17</v>
      </c>
      <c r="K165" s="11">
        <v>27</v>
      </c>
      <c r="L165" s="11" t="s">
        <v>196</v>
      </c>
      <c r="M165" s="11" t="s">
        <v>103</v>
      </c>
      <c r="N165" s="14" t="s">
        <v>77</v>
      </c>
      <c r="O165" s="15"/>
    </row>
    <row r="166" spans="1:15" x14ac:dyDescent="0.2">
      <c r="A166" s="10">
        <v>4701365944</v>
      </c>
      <c r="B166" s="11" t="s">
        <v>33</v>
      </c>
      <c r="C166" s="11" t="s">
        <v>34</v>
      </c>
      <c r="D166" s="11">
        <v>40</v>
      </c>
      <c r="E166" s="9" t="s">
        <v>199</v>
      </c>
      <c r="F166" s="13">
        <v>43304</v>
      </c>
      <c r="G166" s="13" t="s">
        <v>105</v>
      </c>
      <c r="H166" s="11" t="s">
        <v>182</v>
      </c>
      <c r="I166" s="11" t="s">
        <v>24</v>
      </c>
      <c r="J166" s="11" t="s">
        <v>25</v>
      </c>
      <c r="K166" s="11">
        <v>28</v>
      </c>
      <c r="L166" s="11" t="s">
        <v>196</v>
      </c>
      <c r="M166" s="11" t="s">
        <v>106</v>
      </c>
      <c r="N166" s="14" t="s">
        <v>35</v>
      </c>
    </row>
    <row r="167" spans="1:15" x14ac:dyDescent="0.2">
      <c r="A167" s="10"/>
      <c r="B167" s="11" t="s">
        <v>33</v>
      </c>
      <c r="C167" s="11" t="s">
        <v>36</v>
      </c>
      <c r="D167" s="11">
        <v>12</v>
      </c>
      <c r="E167" s="7" t="s">
        <v>199</v>
      </c>
      <c r="F167" s="13">
        <v>43304</v>
      </c>
      <c r="G167" s="13" t="s">
        <v>105</v>
      </c>
      <c r="H167" s="11" t="s">
        <v>182</v>
      </c>
      <c r="I167" s="11" t="s">
        <v>24</v>
      </c>
      <c r="J167" s="11" t="s">
        <v>25</v>
      </c>
      <c r="K167" s="11">
        <v>28</v>
      </c>
      <c r="L167" s="11" t="s">
        <v>196</v>
      </c>
      <c r="M167" s="11" t="s">
        <v>106</v>
      </c>
      <c r="N167" s="14" t="s">
        <v>37</v>
      </c>
    </row>
    <row r="168" spans="1:15" x14ac:dyDescent="0.2">
      <c r="A168" s="10">
        <v>4701365945</v>
      </c>
      <c r="B168" s="11" t="s">
        <v>12</v>
      </c>
      <c r="C168" s="11" t="s">
        <v>19</v>
      </c>
      <c r="D168" s="11">
        <v>60</v>
      </c>
      <c r="E168" s="7" t="s">
        <v>199</v>
      </c>
      <c r="F168" s="13">
        <v>43304</v>
      </c>
      <c r="G168" s="13" t="s">
        <v>105</v>
      </c>
      <c r="H168" s="11" t="s">
        <v>182</v>
      </c>
      <c r="I168" s="11" t="s">
        <v>16</v>
      </c>
      <c r="J168" s="11" t="s">
        <v>17</v>
      </c>
      <c r="K168" s="11">
        <v>28</v>
      </c>
      <c r="L168" s="11" t="s">
        <v>196</v>
      </c>
      <c r="M168" s="11" t="s">
        <v>106</v>
      </c>
      <c r="N168" s="14" t="s">
        <v>20</v>
      </c>
    </row>
    <row r="169" spans="1:15" x14ac:dyDescent="0.2">
      <c r="A169" s="10"/>
      <c r="B169" s="11" t="s">
        <v>12</v>
      </c>
      <c r="C169" s="11" t="s">
        <v>57</v>
      </c>
      <c r="D169" s="11">
        <v>15</v>
      </c>
      <c r="E169" s="7" t="s">
        <v>199</v>
      </c>
      <c r="F169" s="13">
        <v>43304</v>
      </c>
      <c r="G169" s="13" t="s">
        <v>105</v>
      </c>
      <c r="H169" s="11" t="s">
        <v>182</v>
      </c>
      <c r="I169" s="11" t="s">
        <v>16</v>
      </c>
      <c r="J169" s="11" t="s">
        <v>17</v>
      </c>
      <c r="K169" s="11">
        <v>28</v>
      </c>
      <c r="L169" s="11" t="s">
        <v>196</v>
      </c>
      <c r="M169" s="11" t="s">
        <v>106</v>
      </c>
      <c r="N169" s="14" t="s">
        <v>58</v>
      </c>
    </row>
    <row r="170" spans="1:15" x14ac:dyDescent="0.2">
      <c r="A170" s="10"/>
      <c r="B170" s="11" t="s">
        <v>12</v>
      </c>
      <c r="C170" s="11" t="s">
        <v>80</v>
      </c>
      <c r="D170" s="11">
        <v>15</v>
      </c>
      <c r="E170" s="7" t="s">
        <v>199</v>
      </c>
      <c r="F170" s="13">
        <v>43304</v>
      </c>
      <c r="G170" s="13" t="s">
        <v>105</v>
      </c>
      <c r="H170" s="11" t="s">
        <v>182</v>
      </c>
      <c r="I170" s="11" t="s">
        <v>16</v>
      </c>
      <c r="J170" s="11" t="s">
        <v>17</v>
      </c>
      <c r="K170" s="11">
        <v>28</v>
      </c>
      <c r="L170" s="11" t="s">
        <v>196</v>
      </c>
      <c r="M170" s="11" t="s">
        <v>106</v>
      </c>
      <c r="N170" s="14" t="s">
        <v>82</v>
      </c>
    </row>
    <row r="171" spans="1:15" x14ac:dyDescent="0.2">
      <c r="A171" s="10">
        <v>4701365948</v>
      </c>
      <c r="B171" s="11" t="s">
        <v>12</v>
      </c>
      <c r="C171" s="11" t="s">
        <v>44</v>
      </c>
      <c r="D171" s="11">
        <v>42</v>
      </c>
      <c r="E171" s="7" t="s">
        <v>199</v>
      </c>
      <c r="F171" s="13">
        <v>43304</v>
      </c>
      <c r="G171" s="13" t="s">
        <v>107</v>
      </c>
      <c r="H171" s="11" t="s">
        <v>183</v>
      </c>
      <c r="I171" s="11" t="s">
        <v>16</v>
      </c>
      <c r="J171" s="11" t="s">
        <v>17</v>
      </c>
      <c r="K171" s="11">
        <v>29</v>
      </c>
      <c r="L171" s="11" t="s">
        <v>196</v>
      </c>
      <c r="M171" s="11"/>
      <c r="N171" s="14" t="s">
        <v>45</v>
      </c>
    </row>
    <row r="172" spans="1:15" x14ac:dyDescent="0.2">
      <c r="A172" s="10"/>
      <c r="B172" s="11" t="s">
        <v>12</v>
      </c>
      <c r="C172" s="11" t="s">
        <v>13</v>
      </c>
      <c r="D172" s="11">
        <v>15</v>
      </c>
      <c r="E172" s="7" t="s">
        <v>199</v>
      </c>
      <c r="F172" s="13">
        <v>43304</v>
      </c>
      <c r="G172" s="13" t="s">
        <v>107</v>
      </c>
      <c r="H172" s="11" t="s">
        <v>183</v>
      </c>
      <c r="I172" s="11" t="s">
        <v>16</v>
      </c>
      <c r="J172" s="11" t="s">
        <v>17</v>
      </c>
      <c r="K172" s="11">
        <v>29</v>
      </c>
      <c r="L172" s="11" t="s">
        <v>196</v>
      </c>
      <c r="M172" s="11"/>
      <c r="N172" s="14" t="s">
        <v>18</v>
      </c>
    </row>
    <row r="173" spans="1:15" x14ac:dyDescent="0.2">
      <c r="A173" s="10"/>
      <c r="B173" s="11" t="s">
        <v>12</v>
      </c>
      <c r="C173" s="11" t="s">
        <v>57</v>
      </c>
      <c r="D173" s="11">
        <v>60</v>
      </c>
      <c r="E173" s="9" t="s">
        <v>199</v>
      </c>
      <c r="F173" s="13">
        <v>43304</v>
      </c>
      <c r="G173" s="13" t="s">
        <v>107</v>
      </c>
      <c r="H173" s="11" t="s">
        <v>183</v>
      </c>
      <c r="I173" s="11" t="s">
        <v>16</v>
      </c>
      <c r="J173" s="11" t="s">
        <v>17</v>
      </c>
      <c r="K173" s="11">
        <v>29</v>
      </c>
      <c r="L173" s="11" t="s">
        <v>196</v>
      </c>
      <c r="M173" s="11"/>
      <c r="N173" s="14" t="s">
        <v>58</v>
      </c>
    </row>
    <row r="174" spans="1:15" x14ac:dyDescent="0.2">
      <c r="A174" s="10"/>
      <c r="B174" s="11" t="s">
        <v>12</v>
      </c>
      <c r="C174" s="11" t="s">
        <v>80</v>
      </c>
      <c r="D174" s="32">
        <f>20-5</f>
        <v>15</v>
      </c>
      <c r="E174" s="9" t="s">
        <v>199</v>
      </c>
      <c r="F174" s="13">
        <v>43304</v>
      </c>
      <c r="G174" s="13" t="s">
        <v>107</v>
      </c>
      <c r="H174" s="11" t="s">
        <v>183</v>
      </c>
      <c r="I174" s="11" t="s">
        <v>16</v>
      </c>
      <c r="J174" s="11" t="s">
        <v>17</v>
      </c>
      <c r="K174" s="11">
        <v>29</v>
      </c>
      <c r="L174" s="11" t="s">
        <v>196</v>
      </c>
      <c r="M174" s="11"/>
      <c r="N174" s="14" t="s">
        <v>82</v>
      </c>
    </row>
    <row r="175" spans="1:15" x14ac:dyDescent="0.2">
      <c r="A175" s="10"/>
      <c r="B175" s="11" t="s">
        <v>12</v>
      </c>
      <c r="C175" s="11" t="s">
        <v>78</v>
      </c>
      <c r="D175" s="11">
        <v>346</v>
      </c>
      <c r="E175" s="9" t="s">
        <v>199</v>
      </c>
      <c r="F175" s="13">
        <v>43304</v>
      </c>
      <c r="G175" s="13" t="s">
        <v>107</v>
      </c>
      <c r="H175" s="11" t="s">
        <v>183</v>
      </c>
      <c r="I175" s="11" t="s">
        <v>16</v>
      </c>
      <c r="J175" s="11" t="s">
        <v>17</v>
      </c>
      <c r="K175" s="11">
        <v>29</v>
      </c>
      <c r="L175" s="11" t="s">
        <v>196</v>
      </c>
      <c r="M175" s="11"/>
      <c r="N175" s="14" t="s">
        <v>79</v>
      </c>
    </row>
    <row r="176" spans="1:15" x14ac:dyDescent="0.2">
      <c r="A176" s="10">
        <v>4701365949</v>
      </c>
      <c r="B176" s="11" t="s">
        <v>12</v>
      </c>
      <c r="C176" s="11" t="s">
        <v>21</v>
      </c>
      <c r="D176" s="11">
        <v>88</v>
      </c>
      <c r="E176" s="9" t="s">
        <v>199</v>
      </c>
      <c r="F176" s="13">
        <v>43304</v>
      </c>
      <c r="G176" s="13" t="s">
        <v>108</v>
      </c>
      <c r="H176" s="11" t="s">
        <v>189</v>
      </c>
      <c r="I176" s="11" t="s">
        <v>24</v>
      </c>
      <c r="J176" s="11" t="s">
        <v>25</v>
      </c>
      <c r="K176" s="11">
        <v>30</v>
      </c>
      <c r="L176" s="11" t="s">
        <v>194</v>
      </c>
      <c r="M176" s="11"/>
      <c r="N176" s="14" t="s">
        <v>26</v>
      </c>
    </row>
    <row r="177" spans="1:14" x14ac:dyDescent="0.2">
      <c r="A177" s="10"/>
      <c r="B177" s="11" t="s">
        <v>12</v>
      </c>
      <c r="C177" s="11" t="s">
        <v>27</v>
      </c>
      <c r="D177" s="11">
        <v>57</v>
      </c>
      <c r="E177" s="9" t="s">
        <v>199</v>
      </c>
      <c r="F177" s="13">
        <v>43304</v>
      </c>
      <c r="G177" s="13" t="s">
        <v>108</v>
      </c>
      <c r="H177" s="11" t="s">
        <v>189</v>
      </c>
      <c r="I177" s="11" t="s">
        <v>24</v>
      </c>
      <c r="J177" s="11" t="s">
        <v>25</v>
      </c>
      <c r="K177" s="11">
        <v>30</v>
      </c>
      <c r="L177" s="11" t="s">
        <v>194</v>
      </c>
      <c r="M177" s="11"/>
      <c r="N177" s="14" t="s">
        <v>28</v>
      </c>
    </row>
    <row r="178" spans="1:14" x14ac:dyDescent="0.2">
      <c r="A178" s="10"/>
      <c r="B178" s="11" t="s">
        <v>12</v>
      </c>
      <c r="C178" s="11" t="s">
        <v>29</v>
      </c>
      <c r="D178" s="11">
        <v>9</v>
      </c>
      <c r="E178" s="7" t="s">
        <v>199</v>
      </c>
      <c r="F178" s="13">
        <v>43304</v>
      </c>
      <c r="G178" s="13" t="s">
        <v>108</v>
      </c>
      <c r="H178" s="11" t="s">
        <v>189</v>
      </c>
      <c r="I178" s="11" t="s">
        <v>24</v>
      </c>
      <c r="J178" s="11" t="s">
        <v>25</v>
      </c>
      <c r="K178" s="11">
        <v>30</v>
      </c>
      <c r="L178" s="11" t="s">
        <v>194</v>
      </c>
      <c r="M178" s="11"/>
      <c r="N178" s="14" t="s">
        <v>30</v>
      </c>
    </row>
    <row r="179" spans="1:14" x14ac:dyDescent="0.2">
      <c r="A179" s="10"/>
      <c r="B179" s="11" t="s">
        <v>12</v>
      </c>
      <c r="C179" s="11" t="s">
        <v>49</v>
      </c>
      <c r="D179" s="11">
        <v>35</v>
      </c>
      <c r="E179" s="7" t="s">
        <v>199</v>
      </c>
      <c r="F179" s="13">
        <v>43304</v>
      </c>
      <c r="G179" s="13" t="s">
        <v>108</v>
      </c>
      <c r="H179" s="11" t="s">
        <v>189</v>
      </c>
      <c r="I179" s="11" t="s">
        <v>24</v>
      </c>
      <c r="J179" s="11" t="s">
        <v>25</v>
      </c>
      <c r="K179" s="11">
        <v>30</v>
      </c>
      <c r="L179" s="11" t="s">
        <v>194</v>
      </c>
      <c r="M179" s="11"/>
      <c r="N179" s="14" t="s">
        <v>50</v>
      </c>
    </row>
    <row r="180" spans="1:14" x14ac:dyDescent="0.2">
      <c r="A180" s="10"/>
      <c r="B180" s="11" t="s">
        <v>12</v>
      </c>
      <c r="C180" s="11" t="s">
        <v>51</v>
      </c>
      <c r="D180" s="11">
        <v>97</v>
      </c>
      <c r="E180" s="7" t="s">
        <v>199</v>
      </c>
      <c r="F180" s="13">
        <v>43304</v>
      </c>
      <c r="G180" s="13" t="s">
        <v>108</v>
      </c>
      <c r="H180" s="11" t="s">
        <v>189</v>
      </c>
      <c r="I180" s="11" t="s">
        <v>24</v>
      </c>
      <c r="J180" s="11" t="s">
        <v>25</v>
      </c>
      <c r="K180" s="11">
        <v>30</v>
      </c>
      <c r="L180" s="11" t="s">
        <v>194</v>
      </c>
      <c r="M180" s="11"/>
      <c r="N180" s="14" t="s">
        <v>52</v>
      </c>
    </row>
    <row r="181" spans="1:14" x14ac:dyDescent="0.2">
      <c r="A181" s="10">
        <v>4701365950</v>
      </c>
      <c r="B181" s="11" t="s">
        <v>33</v>
      </c>
      <c r="C181" s="11" t="s">
        <v>34</v>
      </c>
      <c r="D181" s="11">
        <v>30</v>
      </c>
      <c r="E181" s="7" t="s">
        <v>199</v>
      </c>
      <c r="F181" s="13">
        <v>43304</v>
      </c>
      <c r="G181" s="13" t="s">
        <v>108</v>
      </c>
      <c r="H181" s="11" t="s">
        <v>189</v>
      </c>
      <c r="I181" s="11" t="s">
        <v>24</v>
      </c>
      <c r="J181" s="11" t="s">
        <v>25</v>
      </c>
      <c r="K181" s="11">
        <v>30</v>
      </c>
      <c r="L181" s="11" t="s">
        <v>194</v>
      </c>
      <c r="M181" s="11"/>
      <c r="N181" s="14" t="s">
        <v>35</v>
      </c>
    </row>
    <row r="182" spans="1:14" x14ac:dyDescent="0.2">
      <c r="A182" s="10"/>
      <c r="B182" s="11" t="s">
        <v>33</v>
      </c>
      <c r="C182" s="11" t="s">
        <v>36</v>
      </c>
      <c r="D182" s="11">
        <v>30</v>
      </c>
      <c r="E182" s="7" t="s">
        <v>199</v>
      </c>
      <c r="F182" s="13">
        <v>43304</v>
      </c>
      <c r="G182" s="13" t="s">
        <v>108</v>
      </c>
      <c r="H182" s="11" t="s">
        <v>189</v>
      </c>
      <c r="I182" s="11" t="s">
        <v>24</v>
      </c>
      <c r="J182" s="11" t="s">
        <v>25</v>
      </c>
      <c r="K182" s="11">
        <v>30</v>
      </c>
      <c r="L182" s="11" t="s">
        <v>194</v>
      </c>
      <c r="M182" s="11"/>
      <c r="N182" s="14" t="s">
        <v>37</v>
      </c>
    </row>
    <row r="183" spans="1:14" x14ac:dyDescent="0.2">
      <c r="A183" s="10"/>
      <c r="B183" s="11" t="s">
        <v>33</v>
      </c>
      <c r="C183" s="11" t="s">
        <v>53</v>
      </c>
      <c r="D183" s="11">
        <v>21</v>
      </c>
      <c r="E183" s="7" t="s">
        <v>199</v>
      </c>
      <c r="F183" s="13">
        <v>43304</v>
      </c>
      <c r="G183" s="13" t="s">
        <v>108</v>
      </c>
      <c r="H183" s="11" t="s">
        <v>189</v>
      </c>
      <c r="I183" s="11" t="s">
        <v>24</v>
      </c>
      <c r="J183" s="11" t="s">
        <v>25</v>
      </c>
      <c r="K183" s="11">
        <v>30</v>
      </c>
      <c r="L183" s="11" t="s">
        <v>194</v>
      </c>
      <c r="M183" s="11"/>
      <c r="N183" s="14" t="s">
        <v>54</v>
      </c>
    </row>
    <row r="184" spans="1:14" x14ac:dyDescent="0.2">
      <c r="A184" s="10">
        <v>4701365951</v>
      </c>
      <c r="B184" s="11" t="s">
        <v>12</v>
      </c>
      <c r="C184" s="11" t="s">
        <v>44</v>
      </c>
      <c r="D184" s="11">
        <v>50</v>
      </c>
      <c r="E184" s="7" t="s">
        <v>199</v>
      </c>
      <c r="F184" s="13">
        <v>43304</v>
      </c>
      <c r="G184" s="13" t="s">
        <v>108</v>
      </c>
      <c r="H184" s="11" t="s">
        <v>189</v>
      </c>
      <c r="I184" s="11" t="s">
        <v>16</v>
      </c>
      <c r="J184" s="11" t="s">
        <v>17</v>
      </c>
      <c r="K184" s="11">
        <v>30</v>
      </c>
      <c r="L184" s="11" t="s">
        <v>194</v>
      </c>
      <c r="M184" s="11"/>
      <c r="N184" s="14" t="s">
        <v>45</v>
      </c>
    </row>
    <row r="185" spans="1:14" x14ac:dyDescent="0.2">
      <c r="A185" s="10"/>
      <c r="B185" s="11" t="s">
        <v>12</v>
      </c>
      <c r="C185" s="11" t="s">
        <v>13</v>
      </c>
      <c r="D185" s="11">
        <v>1</v>
      </c>
      <c r="E185" s="7" t="s">
        <v>199</v>
      </c>
      <c r="F185" s="13">
        <v>43304</v>
      </c>
      <c r="G185" s="13" t="s">
        <v>108</v>
      </c>
      <c r="H185" s="11" t="s">
        <v>189</v>
      </c>
      <c r="I185" s="11" t="s">
        <v>16</v>
      </c>
      <c r="J185" s="11" t="s">
        <v>17</v>
      </c>
      <c r="K185" s="11">
        <v>30</v>
      </c>
      <c r="L185" s="11" t="s">
        <v>194</v>
      </c>
      <c r="M185" s="11"/>
      <c r="N185" s="14" t="s">
        <v>18</v>
      </c>
    </row>
    <row r="186" spans="1:14" x14ac:dyDescent="0.2">
      <c r="A186" s="10"/>
      <c r="B186" s="11" t="s">
        <v>12</v>
      </c>
      <c r="C186" s="11" t="s">
        <v>38</v>
      </c>
      <c r="D186" s="11">
        <v>52</v>
      </c>
      <c r="E186" s="7" t="s">
        <v>199</v>
      </c>
      <c r="F186" s="13">
        <v>43304</v>
      </c>
      <c r="G186" s="13" t="s">
        <v>108</v>
      </c>
      <c r="H186" s="11" t="s">
        <v>189</v>
      </c>
      <c r="I186" s="11" t="s">
        <v>16</v>
      </c>
      <c r="J186" s="11" t="s">
        <v>17</v>
      </c>
      <c r="K186" s="11">
        <v>30</v>
      </c>
      <c r="L186" s="11" t="s">
        <v>194</v>
      </c>
      <c r="M186" s="11"/>
      <c r="N186" s="14" t="s">
        <v>39</v>
      </c>
    </row>
    <row r="187" spans="1:14" x14ac:dyDescent="0.2">
      <c r="A187" s="10"/>
      <c r="B187" s="11" t="s">
        <v>12</v>
      </c>
      <c r="C187" s="11" t="s">
        <v>19</v>
      </c>
      <c r="D187" s="37">
        <f>360+40</f>
        <v>400</v>
      </c>
      <c r="E187" s="12" t="s">
        <v>199</v>
      </c>
      <c r="F187" s="13">
        <v>43304</v>
      </c>
      <c r="G187" s="13" t="s">
        <v>108</v>
      </c>
      <c r="H187" s="11" t="s">
        <v>189</v>
      </c>
      <c r="I187" s="11" t="s">
        <v>16</v>
      </c>
      <c r="J187" s="11" t="s">
        <v>17</v>
      </c>
      <c r="K187" s="11">
        <v>30</v>
      </c>
      <c r="L187" s="11" t="s">
        <v>194</v>
      </c>
      <c r="M187" s="11"/>
      <c r="N187" s="14" t="s">
        <v>20</v>
      </c>
    </row>
    <row r="188" spans="1:14" x14ac:dyDescent="0.2">
      <c r="A188" s="10"/>
      <c r="B188" s="11" t="s">
        <v>12</v>
      </c>
      <c r="C188" s="11" t="s">
        <v>65</v>
      </c>
      <c r="D188" s="11">
        <v>6</v>
      </c>
      <c r="E188" s="12" t="s">
        <v>199</v>
      </c>
      <c r="F188" s="13">
        <v>43304</v>
      </c>
      <c r="G188" s="13" t="s">
        <v>108</v>
      </c>
      <c r="H188" s="11" t="s">
        <v>189</v>
      </c>
      <c r="I188" s="11" t="s">
        <v>16</v>
      </c>
      <c r="J188" s="11" t="s">
        <v>17</v>
      </c>
      <c r="K188" s="11">
        <v>30</v>
      </c>
      <c r="L188" s="11" t="s">
        <v>194</v>
      </c>
      <c r="M188" s="11"/>
      <c r="N188" s="14" t="s">
        <v>66</v>
      </c>
    </row>
    <row r="189" spans="1:14" x14ac:dyDescent="0.2">
      <c r="A189" s="10"/>
      <c r="B189" s="11" t="s">
        <v>12</v>
      </c>
      <c r="C189" s="11" t="s">
        <v>40</v>
      </c>
      <c r="D189" s="37">
        <f>30-30</f>
        <v>0</v>
      </c>
      <c r="E189" s="12" t="s">
        <v>199</v>
      </c>
      <c r="F189" s="13">
        <v>43304</v>
      </c>
      <c r="G189" s="13" t="s">
        <v>108</v>
      </c>
      <c r="H189" s="11" t="s">
        <v>189</v>
      </c>
      <c r="I189" s="11" t="s">
        <v>16</v>
      </c>
      <c r="J189" s="11" t="s">
        <v>17</v>
      </c>
      <c r="K189" s="11">
        <v>30</v>
      </c>
      <c r="L189" s="11" t="s">
        <v>194</v>
      </c>
      <c r="M189" s="11"/>
      <c r="N189" s="14" t="s">
        <v>41</v>
      </c>
    </row>
    <row r="190" spans="1:14" x14ac:dyDescent="0.2">
      <c r="A190" s="10"/>
      <c r="B190" s="11" t="s">
        <v>12</v>
      </c>
      <c r="C190" s="11" t="s">
        <v>42</v>
      </c>
      <c r="D190" s="11">
        <v>90</v>
      </c>
      <c r="E190" s="12" t="s">
        <v>199</v>
      </c>
      <c r="F190" s="13">
        <v>43304</v>
      </c>
      <c r="G190" s="13" t="s">
        <v>108</v>
      </c>
      <c r="H190" s="11" t="s">
        <v>189</v>
      </c>
      <c r="I190" s="11" t="s">
        <v>16</v>
      </c>
      <c r="J190" s="11" t="s">
        <v>17</v>
      </c>
      <c r="K190" s="11">
        <v>30</v>
      </c>
      <c r="L190" s="11" t="s">
        <v>194</v>
      </c>
      <c r="M190" s="11"/>
      <c r="N190" s="14" t="s">
        <v>43</v>
      </c>
    </row>
    <row r="191" spans="1:14" x14ac:dyDescent="0.2">
      <c r="A191" s="36">
        <v>4701366463</v>
      </c>
      <c r="B191" s="32" t="s">
        <v>12</v>
      </c>
      <c r="C191" s="32" t="s">
        <v>21</v>
      </c>
      <c r="D191" s="32">
        <v>30</v>
      </c>
      <c r="E191" s="33" t="s">
        <v>199</v>
      </c>
      <c r="F191" s="34">
        <v>43304</v>
      </c>
      <c r="G191" s="34" t="s">
        <v>146</v>
      </c>
      <c r="H191" s="32" t="s">
        <v>147</v>
      </c>
      <c r="I191" s="32" t="s">
        <v>24</v>
      </c>
      <c r="J191" s="32" t="s">
        <v>25</v>
      </c>
      <c r="K191" s="32">
        <v>31</v>
      </c>
      <c r="L191" s="32" t="s">
        <v>197</v>
      </c>
      <c r="M191" s="32"/>
      <c r="N191" s="35" t="s">
        <v>26</v>
      </c>
    </row>
    <row r="192" spans="1:14" x14ac:dyDescent="0.2">
      <c r="A192" s="10"/>
      <c r="B192" s="32" t="s">
        <v>12</v>
      </c>
      <c r="C192" s="32" t="s">
        <v>27</v>
      </c>
      <c r="D192" s="32">
        <v>20</v>
      </c>
      <c r="E192" s="33" t="s">
        <v>199</v>
      </c>
      <c r="F192" s="34">
        <v>43304</v>
      </c>
      <c r="G192" s="34" t="s">
        <v>146</v>
      </c>
      <c r="H192" s="32" t="s">
        <v>147</v>
      </c>
      <c r="I192" s="32" t="s">
        <v>24</v>
      </c>
      <c r="J192" s="32" t="s">
        <v>25</v>
      </c>
      <c r="K192" s="32">
        <v>31</v>
      </c>
      <c r="L192" s="32" t="s">
        <v>197</v>
      </c>
      <c r="M192" s="32"/>
      <c r="N192" s="35" t="s">
        <v>28</v>
      </c>
    </row>
    <row r="193" spans="1:14" x14ac:dyDescent="0.2">
      <c r="A193" s="10"/>
      <c r="B193" s="32" t="s">
        <v>12</v>
      </c>
      <c r="C193" s="32" t="s">
        <v>29</v>
      </c>
      <c r="D193" s="32">
        <v>35</v>
      </c>
      <c r="E193" s="33" t="s">
        <v>199</v>
      </c>
      <c r="F193" s="34">
        <v>43304</v>
      </c>
      <c r="G193" s="34" t="s">
        <v>146</v>
      </c>
      <c r="H193" s="32" t="s">
        <v>147</v>
      </c>
      <c r="I193" s="32" t="s">
        <v>24</v>
      </c>
      <c r="J193" s="32" t="s">
        <v>25</v>
      </c>
      <c r="K193" s="32">
        <v>31</v>
      </c>
      <c r="L193" s="32" t="s">
        <v>197</v>
      </c>
      <c r="M193" s="32"/>
      <c r="N193" s="35" t="s">
        <v>30</v>
      </c>
    </row>
    <row r="194" spans="1:14" x14ac:dyDescent="0.2">
      <c r="A194" s="36">
        <v>4701366464</v>
      </c>
      <c r="B194" s="32" t="s">
        <v>12</v>
      </c>
      <c r="C194" s="32" t="s">
        <v>29</v>
      </c>
      <c r="D194" s="32">
        <v>15</v>
      </c>
      <c r="E194" s="33" t="s">
        <v>199</v>
      </c>
      <c r="F194" s="34">
        <v>43304</v>
      </c>
      <c r="G194" s="34" t="s">
        <v>146</v>
      </c>
      <c r="H194" s="32" t="s">
        <v>147</v>
      </c>
      <c r="I194" s="32" t="s">
        <v>24</v>
      </c>
      <c r="J194" s="32" t="s">
        <v>25</v>
      </c>
      <c r="K194" s="32">
        <v>32</v>
      </c>
      <c r="L194" s="32" t="s">
        <v>197</v>
      </c>
      <c r="M194" s="32"/>
      <c r="N194" s="35" t="s">
        <v>30</v>
      </c>
    </row>
    <row r="195" spans="1:14" x14ac:dyDescent="0.2">
      <c r="A195" s="10"/>
      <c r="B195" s="32" t="s">
        <v>92</v>
      </c>
      <c r="C195" s="32" t="s">
        <v>96</v>
      </c>
      <c r="D195" s="32">
        <v>40</v>
      </c>
      <c r="E195" s="33" t="s">
        <v>199</v>
      </c>
      <c r="F195" s="34">
        <v>43304</v>
      </c>
      <c r="G195" s="34" t="s">
        <v>146</v>
      </c>
      <c r="H195" s="32" t="s">
        <v>147</v>
      </c>
      <c r="I195" s="32" t="s">
        <v>24</v>
      </c>
      <c r="J195" s="32" t="s">
        <v>25</v>
      </c>
      <c r="K195" s="32">
        <v>32</v>
      </c>
      <c r="L195" s="32" t="s">
        <v>197</v>
      </c>
      <c r="M195" s="32"/>
      <c r="N195" s="35" t="s">
        <v>97</v>
      </c>
    </row>
    <row r="196" spans="1:14" x14ac:dyDescent="0.2">
      <c r="A196" s="10"/>
      <c r="B196" s="32" t="s">
        <v>12</v>
      </c>
      <c r="C196" s="32" t="s">
        <v>49</v>
      </c>
      <c r="D196" s="32">
        <v>6</v>
      </c>
      <c r="E196" s="33" t="s">
        <v>199</v>
      </c>
      <c r="F196" s="34">
        <v>43304</v>
      </c>
      <c r="G196" s="34" t="s">
        <v>146</v>
      </c>
      <c r="H196" s="32" t="s">
        <v>147</v>
      </c>
      <c r="I196" s="32" t="s">
        <v>24</v>
      </c>
      <c r="J196" s="32" t="s">
        <v>25</v>
      </c>
      <c r="K196" s="32">
        <v>32</v>
      </c>
      <c r="L196" s="32" t="s">
        <v>197</v>
      </c>
      <c r="M196" s="32"/>
      <c r="N196" s="35" t="s">
        <v>50</v>
      </c>
    </row>
    <row r="197" spans="1:14" x14ac:dyDescent="0.2">
      <c r="A197" s="36">
        <v>4701366474</v>
      </c>
      <c r="B197" s="32" t="s">
        <v>33</v>
      </c>
      <c r="C197" s="32" t="s">
        <v>53</v>
      </c>
      <c r="D197" s="32">
        <v>50</v>
      </c>
      <c r="E197" s="33" t="s">
        <v>199</v>
      </c>
      <c r="F197" s="34">
        <v>43304</v>
      </c>
      <c r="G197" s="34" t="s">
        <v>146</v>
      </c>
      <c r="H197" s="32" t="s">
        <v>147</v>
      </c>
      <c r="I197" s="32" t="s">
        <v>24</v>
      </c>
      <c r="J197" s="32" t="s">
        <v>25</v>
      </c>
      <c r="K197" s="32">
        <v>32</v>
      </c>
      <c r="L197" s="32" t="s">
        <v>197</v>
      </c>
      <c r="M197" s="32"/>
      <c r="N197" s="35" t="s">
        <v>54</v>
      </c>
    </row>
    <row r="198" spans="1:14" x14ac:dyDescent="0.2">
      <c r="A198" s="36">
        <v>4701366476</v>
      </c>
      <c r="B198" s="32" t="s">
        <v>33</v>
      </c>
      <c r="C198" s="32" t="s">
        <v>34</v>
      </c>
      <c r="D198" s="32">
        <v>125</v>
      </c>
      <c r="E198" s="33" t="s">
        <v>199</v>
      </c>
      <c r="F198" s="34">
        <v>43304</v>
      </c>
      <c r="G198" s="34" t="s">
        <v>146</v>
      </c>
      <c r="H198" s="32" t="s">
        <v>147</v>
      </c>
      <c r="I198" s="32" t="s">
        <v>24</v>
      </c>
      <c r="J198" s="32" t="s">
        <v>25</v>
      </c>
      <c r="K198" s="32">
        <v>33</v>
      </c>
      <c r="L198" s="32" t="s">
        <v>197</v>
      </c>
      <c r="M198" s="32"/>
      <c r="N198" s="35" t="s">
        <v>35</v>
      </c>
    </row>
    <row r="199" spans="1:14" x14ac:dyDescent="0.2">
      <c r="A199" s="10"/>
      <c r="B199" s="32" t="s">
        <v>33</v>
      </c>
      <c r="C199" s="32" t="s">
        <v>36</v>
      </c>
      <c r="D199" s="32">
        <v>10</v>
      </c>
      <c r="E199" s="33" t="s">
        <v>199</v>
      </c>
      <c r="F199" s="34">
        <v>43304</v>
      </c>
      <c r="G199" s="34" t="s">
        <v>146</v>
      </c>
      <c r="H199" s="32" t="s">
        <v>147</v>
      </c>
      <c r="I199" s="32" t="s">
        <v>24</v>
      </c>
      <c r="J199" s="32" t="s">
        <v>25</v>
      </c>
      <c r="K199" s="32">
        <v>33</v>
      </c>
      <c r="L199" s="32" t="s">
        <v>197</v>
      </c>
      <c r="M199" s="32"/>
      <c r="N199" s="35" t="s">
        <v>37</v>
      </c>
    </row>
    <row r="200" spans="1:14" x14ac:dyDescent="0.2">
      <c r="A200" s="36">
        <v>4701366479</v>
      </c>
      <c r="B200" s="32" t="s">
        <v>12</v>
      </c>
      <c r="C200" s="32" t="s">
        <v>44</v>
      </c>
      <c r="D200" s="32">
        <v>5</v>
      </c>
      <c r="E200" s="33" t="s">
        <v>199</v>
      </c>
      <c r="F200" s="34">
        <v>43304</v>
      </c>
      <c r="G200" s="34" t="s">
        <v>146</v>
      </c>
      <c r="H200" s="32" t="s">
        <v>147</v>
      </c>
      <c r="I200" s="32" t="s">
        <v>16</v>
      </c>
      <c r="J200" s="32" t="s">
        <v>17</v>
      </c>
      <c r="K200" s="32">
        <v>34</v>
      </c>
      <c r="L200" s="32" t="s">
        <v>197</v>
      </c>
      <c r="M200" s="32"/>
      <c r="N200" s="35" t="s">
        <v>45</v>
      </c>
    </row>
    <row r="201" spans="1:14" x14ac:dyDescent="0.2">
      <c r="A201" s="10"/>
      <c r="B201" s="32" t="s">
        <v>12</v>
      </c>
      <c r="C201" s="32" t="s">
        <v>47</v>
      </c>
      <c r="D201" s="32">
        <v>1</v>
      </c>
      <c r="E201" s="33" t="s">
        <v>199</v>
      </c>
      <c r="F201" s="34">
        <v>43304</v>
      </c>
      <c r="G201" s="34" t="s">
        <v>146</v>
      </c>
      <c r="H201" s="32" t="s">
        <v>147</v>
      </c>
      <c r="I201" s="32" t="s">
        <v>16</v>
      </c>
      <c r="J201" s="32" t="s">
        <v>17</v>
      </c>
      <c r="K201" s="32">
        <v>34</v>
      </c>
      <c r="L201" s="32" t="s">
        <v>197</v>
      </c>
      <c r="M201" s="32"/>
      <c r="N201" s="35" t="s">
        <v>48</v>
      </c>
    </row>
    <row r="202" spans="1:14" x14ac:dyDescent="0.2">
      <c r="A202" s="10"/>
      <c r="B202" s="32" t="s">
        <v>12</v>
      </c>
      <c r="C202" s="32" t="s">
        <v>13</v>
      </c>
      <c r="D202" s="32">
        <v>3</v>
      </c>
      <c r="E202" s="33" t="s">
        <v>199</v>
      </c>
      <c r="F202" s="34">
        <v>43304</v>
      </c>
      <c r="G202" s="34" t="s">
        <v>146</v>
      </c>
      <c r="H202" s="32" t="s">
        <v>147</v>
      </c>
      <c r="I202" s="32" t="s">
        <v>16</v>
      </c>
      <c r="J202" s="32" t="s">
        <v>17</v>
      </c>
      <c r="K202" s="32">
        <v>34</v>
      </c>
      <c r="L202" s="32" t="s">
        <v>197</v>
      </c>
      <c r="M202" s="32"/>
      <c r="N202" s="35" t="s">
        <v>18</v>
      </c>
    </row>
    <row r="203" spans="1:14" x14ac:dyDescent="0.2">
      <c r="A203" s="10"/>
      <c r="B203" s="32" t="s">
        <v>12</v>
      </c>
      <c r="C203" s="32" t="s">
        <v>38</v>
      </c>
      <c r="D203" s="32">
        <v>5</v>
      </c>
      <c r="E203" s="33" t="s">
        <v>199</v>
      </c>
      <c r="F203" s="34">
        <v>43304</v>
      </c>
      <c r="G203" s="34" t="s">
        <v>146</v>
      </c>
      <c r="H203" s="32" t="s">
        <v>147</v>
      </c>
      <c r="I203" s="32" t="s">
        <v>16</v>
      </c>
      <c r="J203" s="32" t="s">
        <v>17</v>
      </c>
      <c r="K203" s="32">
        <v>34</v>
      </c>
      <c r="L203" s="32" t="s">
        <v>197</v>
      </c>
      <c r="M203" s="32"/>
      <c r="N203" s="35" t="s">
        <v>39</v>
      </c>
    </row>
    <row r="204" spans="1:14" x14ac:dyDescent="0.2">
      <c r="A204" s="10"/>
      <c r="B204" s="32" t="s">
        <v>12</v>
      </c>
      <c r="C204" s="32" t="s">
        <v>19</v>
      </c>
      <c r="D204" s="32">
        <v>40</v>
      </c>
      <c r="E204" s="33" t="s">
        <v>199</v>
      </c>
      <c r="F204" s="34">
        <v>43304</v>
      </c>
      <c r="G204" s="34" t="s">
        <v>146</v>
      </c>
      <c r="H204" s="32" t="s">
        <v>147</v>
      </c>
      <c r="I204" s="32" t="s">
        <v>16</v>
      </c>
      <c r="J204" s="32" t="s">
        <v>17</v>
      </c>
      <c r="K204" s="32">
        <v>34</v>
      </c>
      <c r="L204" s="32" t="s">
        <v>197</v>
      </c>
      <c r="M204" s="32"/>
      <c r="N204" s="35" t="s">
        <v>20</v>
      </c>
    </row>
    <row r="205" spans="1:14" x14ac:dyDescent="0.2">
      <c r="A205" s="10"/>
      <c r="B205" s="32" t="s">
        <v>12</v>
      </c>
      <c r="C205" s="32" t="s">
        <v>65</v>
      </c>
      <c r="D205" s="32">
        <v>25</v>
      </c>
      <c r="E205" s="33" t="s">
        <v>199</v>
      </c>
      <c r="F205" s="34">
        <v>43304</v>
      </c>
      <c r="G205" s="34" t="s">
        <v>146</v>
      </c>
      <c r="H205" s="32" t="s">
        <v>147</v>
      </c>
      <c r="I205" s="32" t="s">
        <v>16</v>
      </c>
      <c r="J205" s="32" t="s">
        <v>17</v>
      </c>
      <c r="K205" s="32">
        <v>34</v>
      </c>
      <c r="L205" s="32" t="s">
        <v>197</v>
      </c>
      <c r="M205" s="32"/>
      <c r="N205" s="35" t="s">
        <v>66</v>
      </c>
    </row>
    <row r="206" spans="1:14" x14ac:dyDescent="0.2">
      <c r="A206" s="10"/>
      <c r="B206" s="32" t="s">
        <v>12</v>
      </c>
      <c r="C206" s="32" t="s">
        <v>148</v>
      </c>
      <c r="D206" s="32">
        <v>1</v>
      </c>
      <c r="E206" s="33" t="s">
        <v>199</v>
      </c>
      <c r="F206" s="34">
        <v>43304</v>
      </c>
      <c r="G206" s="34" t="s">
        <v>146</v>
      </c>
      <c r="H206" s="32" t="s">
        <v>147</v>
      </c>
      <c r="I206" s="32" t="s">
        <v>16</v>
      </c>
      <c r="J206" s="32" t="s">
        <v>17</v>
      </c>
      <c r="K206" s="32">
        <v>34</v>
      </c>
      <c r="L206" s="32" t="s">
        <v>197</v>
      </c>
      <c r="M206" s="32" t="s">
        <v>149</v>
      </c>
      <c r="N206" s="35" t="s">
        <v>150</v>
      </c>
    </row>
    <row r="207" spans="1:14" x14ac:dyDescent="0.2">
      <c r="A207" s="10"/>
      <c r="B207" s="32" t="s">
        <v>12</v>
      </c>
      <c r="C207" s="32" t="s">
        <v>80</v>
      </c>
      <c r="D207" s="32">
        <v>1</v>
      </c>
      <c r="E207" s="33" t="s">
        <v>199</v>
      </c>
      <c r="F207" s="34">
        <v>43304</v>
      </c>
      <c r="G207" s="34" t="s">
        <v>146</v>
      </c>
      <c r="H207" s="32" t="s">
        <v>147</v>
      </c>
      <c r="I207" s="32" t="s">
        <v>16</v>
      </c>
      <c r="J207" s="32" t="s">
        <v>17</v>
      </c>
      <c r="K207" s="32">
        <v>34</v>
      </c>
      <c r="L207" s="32" t="s">
        <v>197</v>
      </c>
      <c r="M207" s="32" t="s">
        <v>149</v>
      </c>
      <c r="N207" s="35" t="s">
        <v>82</v>
      </c>
    </row>
    <row r="208" spans="1:14" x14ac:dyDescent="0.2">
      <c r="A208" s="10"/>
      <c r="B208" s="32" t="s">
        <v>12</v>
      </c>
      <c r="C208" s="32" t="s">
        <v>42</v>
      </c>
      <c r="D208" s="32">
        <v>50</v>
      </c>
      <c r="E208" s="33" t="s">
        <v>199</v>
      </c>
      <c r="F208" s="34">
        <v>43304</v>
      </c>
      <c r="G208" s="34" t="s">
        <v>146</v>
      </c>
      <c r="H208" s="32" t="s">
        <v>147</v>
      </c>
      <c r="I208" s="32" t="s">
        <v>16</v>
      </c>
      <c r="J208" s="32" t="s">
        <v>17</v>
      </c>
      <c r="K208" s="32">
        <v>34</v>
      </c>
      <c r="L208" s="32" t="s">
        <v>197</v>
      </c>
      <c r="M208" s="32"/>
      <c r="N208" s="35" t="s">
        <v>43</v>
      </c>
    </row>
    <row r="209" spans="1:15" x14ac:dyDescent="0.2">
      <c r="A209" s="36">
        <v>4701366482</v>
      </c>
      <c r="B209" s="32" t="s">
        <v>12</v>
      </c>
      <c r="C209" s="32" t="s">
        <v>44</v>
      </c>
      <c r="D209" s="32">
        <v>200</v>
      </c>
      <c r="E209" s="33" t="s">
        <v>199</v>
      </c>
      <c r="F209" s="34">
        <v>43304</v>
      </c>
      <c r="G209" s="34" t="s">
        <v>135</v>
      </c>
      <c r="H209" s="32" t="s">
        <v>168</v>
      </c>
      <c r="I209" s="32" t="s">
        <v>16</v>
      </c>
      <c r="J209" s="32" t="s">
        <v>17</v>
      </c>
      <c r="K209" s="32">
        <v>35</v>
      </c>
      <c r="L209" s="32" t="s">
        <v>56</v>
      </c>
      <c r="M209" s="32"/>
      <c r="N209" s="35" t="s">
        <v>45</v>
      </c>
    </row>
    <row r="210" spans="1:15" x14ac:dyDescent="0.2">
      <c r="A210" s="10"/>
      <c r="B210" s="32" t="s">
        <v>12</v>
      </c>
      <c r="C210" s="32" t="s">
        <v>13</v>
      </c>
      <c r="D210" s="32">
        <v>150</v>
      </c>
      <c r="E210" s="33" t="s">
        <v>199</v>
      </c>
      <c r="F210" s="34">
        <v>43304</v>
      </c>
      <c r="G210" s="34" t="s">
        <v>135</v>
      </c>
      <c r="H210" s="32" t="s">
        <v>168</v>
      </c>
      <c r="I210" s="32" t="s">
        <v>16</v>
      </c>
      <c r="J210" s="32" t="s">
        <v>17</v>
      </c>
      <c r="K210" s="32">
        <v>35</v>
      </c>
      <c r="L210" s="32" t="s">
        <v>56</v>
      </c>
      <c r="M210" s="32"/>
      <c r="N210" s="35" t="s">
        <v>18</v>
      </c>
    </row>
    <row r="211" spans="1:15" x14ac:dyDescent="0.2">
      <c r="A211" s="10"/>
      <c r="B211" s="32" t="s">
        <v>12</v>
      </c>
      <c r="C211" s="32" t="s">
        <v>57</v>
      </c>
      <c r="D211" s="32">
        <v>200</v>
      </c>
      <c r="E211" s="33" t="s">
        <v>199</v>
      </c>
      <c r="F211" s="34">
        <v>43304</v>
      </c>
      <c r="G211" s="34" t="s">
        <v>135</v>
      </c>
      <c r="H211" s="32" t="s">
        <v>168</v>
      </c>
      <c r="I211" s="32" t="s">
        <v>16</v>
      </c>
      <c r="J211" s="32" t="s">
        <v>17</v>
      </c>
      <c r="K211" s="32">
        <v>35</v>
      </c>
      <c r="L211" s="32" t="s">
        <v>56</v>
      </c>
      <c r="M211" s="32"/>
      <c r="N211" s="35" t="s">
        <v>58</v>
      </c>
    </row>
    <row r="212" spans="1:15" x14ac:dyDescent="0.2">
      <c r="A212" s="10"/>
      <c r="B212" s="32" t="s">
        <v>12</v>
      </c>
      <c r="C212" s="32" t="s">
        <v>80</v>
      </c>
      <c r="D212" s="32">
        <v>35</v>
      </c>
      <c r="E212" s="33" t="s">
        <v>199</v>
      </c>
      <c r="F212" s="34">
        <v>43304</v>
      </c>
      <c r="G212" s="34" t="s">
        <v>135</v>
      </c>
      <c r="H212" s="32" t="s">
        <v>168</v>
      </c>
      <c r="I212" s="32" t="s">
        <v>16</v>
      </c>
      <c r="J212" s="32" t="s">
        <v>17</v>
      </c>
      <c r="K212" s="32">
        <v>35</v>
      </c>
      <c r="L212" s="32" t="s">
        <v>56</v>
      </c>
      <c r="M212" s="32"/>
      <c r="N212" s="35" t="s">
        <v>82</v>
      </c>
    </row>
    <row r="213" spans="1:15" x14ac:dyDescent="0.2">
      <c r="A213" s="10"/>
      <c r="B213" s="28" t="s">
        <v>12</v>
      </c>
      <c r="C213" s="28" t="s">
        <v>44</v>
      </c>
      <c r="D213" s="28">
        <v>39</v>
      </c>
      <c r="E213" s="29" t="s">
        <v>199</v>
      </c>
      <c r="F213" s="30">
        <v>43304</v>
      </c>
      <c r="G213" s="28" t="s">
        <v>24</v>
      </c>
      <c r="H213" s="28" t="s">
        <v>193</v>
      </c>
      <c r="I213" s="28" t="s">
        <v>24</v>
      </c>
      <c r="J213" s="28" t="s">
        <v>25</v>
      </c>
      <c r="K213" s="28"/>
      <c r="L213" s="28"/>
      <c r="M213" s="28"/>
      <c r="N213" s="31" t="s">
        <v>45</v>
      </c>
    </row>
    <row r="214" spans="1:15" x14ac:dyDescent="0.2">
      <c r="A214" s="10"/>
      <c r="B214" s="28" t="s">
        <v>12</v>
      </c>
      <c r="C214" s="28" t="s">
        <v>47</v>
      </c>
      <c r="D214" s="28">
        <v>8</v>
      </c>
      <c r="E214" s="29" t="s">
        <v>199</v>
      </c>
      <c r="F214" s="30">
        <v>43304</v>
      </c>
      <c r="G214" s="28" t="s">
        <v>24</v>
      </c>
      <c r="H214" s="28" t="s">
        <v>193</v>
      </c>
      <c r="I214" s="28" t="s">
        <v>24</v>
      </c>
      <c r="J214" s="28" t="s">
        <v>25</v>
      </c>
      <c r="K214" s="28"/>
      <c r="L214" s="28"/>
      <c r="M214" s="28"/>
      <c r="N214" s="31" t="s">
        <v>48</v>
      </c>
    </row>
    <row r="215" spans="1:15" x14ac:dyDescent="0.2">
      <c r="A215" s="10"/>
      <c r="B215" s="28" t="s">
        <v>12</v>
      </c>
      <c r="C215" s="28" t="s">
        <v>13</v>
      </c>
      <c r="D215" s="28">
        <v>79</v>
      </c>
      <c r="E215" s="29" t="s">
        <v>199</v>
      </c>
      <c r="F215" s="30">
        <v>43304</v>
      </c>
      <c r="G215" s="28" t="s">
        <v>24</v>
      </c>
      <c r="H215" s="28" t="s">
        <v>193</v>
      </c>
      <c r="I215" s="28" t="s">
        <v>24</v>
      </c>
      <c r="J215" s="28" t="s">
        <v>25</v>
      </c>
      <c r="K215" s="28"/>
      <c r="L215" s="28"/>
      <c r="M215" s="28"/>
      <c r="N215" s="31" t="s">
        <v>18</v>
      </c>
    </row>
    <row r="216" spans="1:15" x14ac:dyDescent="0.2">
      <c r="A216" s="10"/>
      <c r="B216" s="28" t="s">
        <v>92</v>
      </c>
      <c r="C216" s="28" t="s">
        <v>93</v>
      </c>
      <c r="D216" s="28">
        <v>12</v>
      </c>
      <c r="E216" s="29" t="s">
        <v>199</v>
      </c>
      <c r="F216" s="30">
        <v>43304</v>
      </c>
      <c r="G216" s="28" t="s">
        <v>24</v>
      </c>
      <c r="H216" s="28" t="s">
        <v>193</v>
      </c>
      <c r="I216" s="28" t="s">
        <v>24</v>
      </c>
      <c r="J216" s="28" t="s">
        <v>25</v>
      </c>
      <c r="K216" s="28"/>
      <c r="L216" s="28"/>
      <c r="M216" s="28"/>
      <c r="N216" s="31" t="s">
        <v>95</v>
      </c>
    </row>
    <row r="217" spans="1:15" x14ac:dyDescent="0.2">
      <c r="A217" s="10"/>
      <c r="B217" s="28" t="s">
        <v>12</v>
      </c>
      <c r="C217" s="28" t="s">
        <v>49</v>
      </c>
      <c r="D217" s="28">
        <v>300</v>
      </c>
      <c r="E217" s="29" t="s">
        <v>199</v>
      </c>
      <c r="F217" s="30">
        <v>43304</v>
      </c>
      <c r="G217" s="28" t="s">
        <v>24</v>
      </c>
      <c r="H217" s="28" t="s">
        <v>193</v>
      </c>
      <c r="I217" s="28" t="s">
        <v>24</v>
      </c>
      <c r="J217" s="28" t="s">
        <v>25</v>
      </c>
      <c r="K217" s="28"/>
      <c r="L217" s="28"/>
      <c r="M217" s="28"/>
      <c r="N217" s="31" t="s">
        <v>50</v>
      </c>
    </row>
    <row r="218" spans="1:15" x14ac:dyDescent="0.2">
      <c r="A218" s="10"/>
      <c r="B218" s="28" t="s">
        <v>12</v>
      </c>
      <c r="C218" s="28" t="s">
        <v>57</v>
      </c>
      <c r="D218" s="28">
        <v>59</v>
      </c>
      <c r="E218" s="29" t="s">
        <v>199</v>
      </c>
      <c r="F218" s="30">
        <v>43304</v>
      </c>
      <c r="G218" s="28" t="s">
        <v>24</v>
      </c>
      <c r="H218" s="28" t="s">
        <v>193</v>
      </c>
      <c r="I218" s="28" t="s">
        <v>24</v>
      </c>
      <c r="J218" s="28" t="s">
        <v>25</v>
      </c>
      <c r="K218" s="28"/>
      <c r="L218" s="28"/>
      <c r="M218" s="28"/>
      <c r="N218" s="31" t="s">
        <v>58</v>
      </c>
    </row>
    <row r="219" spans="1:15" x14ac:dyDescent="0.2">
      <c r="A219" s="10"/>
      <c r="B219" s="28" t="s">
        <v>12</v>
      </c>
      <c r="C219" s="28" t="s">
        <v>42</v>
      </c>
      <c r="D219" s="28">
        <v>46</v>
      </c>
      <c r="E219" s="29" t="s">
        <v>199</v>
      </c>
      <c r="F219" s="30">
        <v>43304</v>
      </c>
      <c r="G219" s="28" t="s">
        <v>24</v>
      </c>
      <c r="H219" s="28" t="s">
        <v>193</v>
      </c>
      <c r="I219" s="28" t="s">
        <v>24</v>
      </c>
      <c r="J219" s="28" t="s">
        <v>25</v>
      </c>
      <c r="K219" s="28"/>
      <c r="L219" s="28"/>
      <c r="M219" s="28"/>
      <c r="N219" s="31" t="s">
        <v>43</v>
      </c>
      <c r="O219" s="15"/>
    </row>
    <row r="220" spans="1:15" x14ac:dyDescent="0.2">
      <c r="A220" s="10"/>
      <c r="B220" s="28" t="s">
        <v>33</v>
      </c>
      <c r="C220" s="28" t="s">
        <v>34</v>
      </c>
      <c r="D220" s="28">
        <v>30</v>
      </c>
      <c r="E220" s="29" t="s">
        <v>199</v>
      </c>
      <c r="F220" s="30">
        <v>43304</v>
      </c>
      <c r="G220" s="28" t="s">
        <v>24</v>
      </c>
      <c r="H220" s="28" t="s">
        <v>193</v>
      </c>
      <c r="I220" s="28" t="s">
        <v>24</v>
      </c>
      <c r="J220" s="28" t="s">
        <v>25</v>
      </c>
      <c r="K220" s="28"/>
      <c r="L220" s="28"/>
      <c r="M220" s="28"/>
      <c r="N220" s="31" t="s">
        <v>35</v>
      </c>
    </row>
    <row r="221" spans="1:15" x14ac:dyDescent="0.2">
      <c r="A221" s="10"/>
      <c r="B221" s="28" t="s">
        <v>33</v>
      </c>
      <c r="C221" s="28" t="s">
        <v>36</v>
      </c>
      <c r="D221" s="28">
        <v>5</v>
      </c>
      <c r="E221" s="29" t="s">
        <v>199</v>
      </c>
      <c r="F221" s="30">
        <v>43304</v>
      </c>
      <c r="G221" s="28" t="s">
        <v>24</v>
      </c>
      <c r="H221" s="28" t="s">
        <v>193</v>
      </c>
      <c r="I221" s="28" t="s">
        <v>24</v>
      </c>
      <c r="J221" s="28" t="s">
        <v>25</v>
      </c>
      <c r="K221" s="28"/>
      <c r="L221" s="28"/>
      <c r="M221" s="28"/>
      <c r="N221" s="31" t="s">
        <v>37</v>
      </c>
    </row>
    <row r="222" spans="1:15" x14ac:dyDescent="0.2">
      <c r="A222" s="10"/>
      <c r="B222" s="28" t="s">
        <v>33</v>
      </c>
      <c r="C222" s="28" t="s">
        <v>53</v>
      </c>
      <c r="D222" s="28">
        <v>20</v>
      </c>
      <c r="E222" s="29" t="s">
        <v>199</v>
      </c>
      <c r="F222" s="30">
        <v>43304</v>
      </c>
      <c r="G222" s="28" t="s">
        <v>24</v>
      </c>
      <c r="H222" s="28" t="s">
        <v>193</v>
      </c>
      <c r="I222" s="28" t="s">
        <v>24</v>
      </c>
      <c r="J222" s="28" t="s">
        <v>25</v>
      </c>
      <c r="K222" s="28"/>
      <c r="L222" s="28"/>
      <c r="M222" s="28"/>
      <c r="N222" s="31" t="s">
        <v>54</v>
      </c>
    </row>
    <row r="223" spans="1:15" x14ac:dyDescent="0.2">
      <c r="A223" s="10"/>
      <c r="B223" s="28" t="s">
        <v>12</v>
      </c>
      <c r="C223" s="28" t="s">
        <v>76</v>
      </c>
      <c r="D223" s="28">
        <v>10</v>
      </c>
      <c r="E223" s="29" t="s">
        <v>199</v>
      </c>
      <c r="F223" s="30">
        <v>43304</v>
      </c>
      <c r="G223" s="28" t="s">
        <v>24</v>
      </c>
      <c r="H223" s="28" t="s">
        <v>193</v>
      </c>
      <c r="I223" s="28" t="s">
        <v>24</v>
      </c>
      <c r="J223" s="28" t="s">
        <v>25</v>
      </c>
      <c r="K223" s="28"/>
      <c r="L223" s="28"/>
      <c r="M223" s="28"/>
      <c r="N223" s="31" t="s">
        <v>77</v>
      </c>
    </row>
    <row r="224" spans="1:15" x14ac:dyDescent="0.2">
      <c r="A224" s="10"/>
      <c r="B224" s="28" t="s">
        <v>12</v>
      </c>
      <c r="C224" s="28" t="s">
        <v>78</v>
      </c>
      <c r="D224" s="28">
        <v>33</v>
      </c>
      <c r="E224" s="29" t="s">
        <v>199</v>
      </c>
      <c r="F224" s="30">
        <v>43304</v>
      </c>
      <c r="G224" s="28" t="s">
        <v>24</v>
      </c>
      <c r="H224" s="28" t="s">
        <v>193</v>
      </c>
      <c r="I224" s="28" t="s">
        <v>24</v>
      </c>
      <c r="J224" s="28" t="s">
        <v>25</v>
      </c>
      <c r="K224" s="28"/>
      <c r="L224" s="28"/>
      <c r="M224" s="28"/>
      <c r="N224" s="31" t="s">
        <v>79</v>
      </c>
    </row>
  </sheetData>
  <autoFilter ref="A3:N224"/>
  <sortState ref="B4:N125">
    <sortCondition ref="K4:K125"/>
    <sortCondition ref="H4:H125"/>
    <sortCondition ref="J4:J125"/>
  </sortState>
  <mergeCells count="1">
    <mergeCell ref="A1:M1"/>
  </mergeCells>
  <printOptions horizontalCentered="1"/>
  <pageMargins left="0" right="0" top="0.5" bottom="0.5" header="0" footer="0"/>
  <pageSetup paperSize="9" scale="58" orientation="portrait" cellComments="asDisplayed" r:id="rId1"/>
  <headerFooter alignWithMargins="0">
    <oddFooter>&amp;RPage &amp;P of &amp;[Pages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33"/>
  <sheetViews>
    <sheetView showGridLines="0" zoomScaleNormal="100" workbookViewId="0">
      <pane ySplit="3" topLeftCell="A110" activePane="bottomLeft" state="frozen"/>
      <selection activeCell="B7" sqref="B7"/>
      <selection pane="bottomLeft" activeCell="H120" sqref="H120"/>
    </sheetView>
  </sheetViews>
  <sheetFormatPr defaultColWidth="9.42578125" defaultRowHeight="12.75" x14ac:dyDescent="0.2"/>
  <cols>
    <col min="1" max="1" width="11" style="8" bestFit="1" customWidth="1"/>
    <col min="2" max="2" width="22.28515625" style="8" customWidth="1"/>
    <col min="3" max="3" width="15" style="8" customWidth="1"/>
    <col min="4" max="4" width="5.42578125" style="8" customWidth="1"/>
    <col min="5" max="5" width="5.5703125" style="7" customWidth="1"/>
    <col min="6" max="6" width="11.85546875" style="16" customWidth="1"/>
    <col min="7" max="7" width="6" style="16" customWidth="1"/>
    <col min="8" max="8" width="24.5703125" style="8" customWidth="1"/>
    <col min="9" max="9" width="6" style="8" customWidth="1"/>
    <col min="10" max="10" width="24" style="8" customWidth="1"/>
    <col min="11" max="11" width="4" style="8" customWidth="1"/>
    <col min="12" max="12" width="14" style="8" customWidth="1"/>
    <col min="13" max="13" width="30" style="8" customWidth="1"/>
    <col min="14" max="14" width="14" style="15" bestFit="1" customWidth="1"/>
    <col min="15" max="15" width="14.5703125" style="7" customWidth="1"/>
    <col min="16" max="16384" width="9.42578125" style="8"/>
  </cols>
  <sheetData>
    <row r="1" spans="1:15" s="2" customFormat="1" x14ac:dyDescent="0.2">
      <c r="A1" s="44" t="str">
        <f>"Pengiriman ( Selasa ) Tgl. "&amp;TEXT(MID(Senin!A1,FIND(".",Senin!A1,1)+2,17)+1,"dd mmmm yyyy")</f>
        <v>Pengiriman ( Selasa ) Tgl. 24 July 2018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6"/>
      <c r="O1" s="1"/>
    </row>
    <row r="2" spans="1:15" s="2" customFormat="1" ht="15" customHeight="1" thickBot="1" x14ac:dyDescent="0.25">
      <c r="E2" s="1"/>
      <c r="F2" s="3"/>
      <c r="G2" s="3"/>
      <c r="N2" s="6"/>
      <c r="O2" s="1"/>
    </row>
    <row r="3" spans="1:15" s="2" customFormat="1" ht="13.5" thickBot="1" x14ac:dyDescent="0.25">
      <c r="A3" s="4" t="s">
        <v>9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19"/>
      <c r="H3" s="20" t="s">
        <v>5</v>
      </c>
      <c r="I3" s="19"/>
      <c r="J3" s="20" t="s">
        <v>6</v>
      </c>
      <c r="K3" s="5" t="s">
        <v>7</v>
      </c>
      <c r="L3" s="5" t="s">
        <v>10</v>
      </c>
      <c r="M3" s="5" t="s">
        <v>8</v>
      </c>
      <c r="N3" s="5" t="s">
        <v>11</v>
      </c>
      <c r="O3" s="1"/>
    </row>
    <row r="4" spans="1:15" x14ac:dyDescent="0.2">
      <c r="A4" s="10">
        <v>4701366876</v>
      </c>
      <c r="B4" s="11" t="s">
        <v>12</v>
      </c>
      <c r="C4" s="11" t="s">
        <v>19</v>
      </c>
      <c r="D4" s="11">
        <v>1138</v>
      </c>
      <c r="E4" s="7" t="s">
        <v>199</v>
      </c>
      <c r="F4" s="27">
        <v>43305</v>
      </c>
      <c r="G4" s="13" t="s">
        <v>14</v>
      </c>
      <c r="H4" s="11" t="s">
        <v>15</v>
      </c>
      <c r="I4" s="11" t="s">
        <v>16</v>
      </c>
      <c r="J4" s="11" t="s">
        <v>17</v>
      </c>
      <c r="K4" s="11">
        <v>1</v>
      </c>
      <c r="L4" s="11" t="s">
        <v>194</v>
      </c>
      <c r="M4" s="11"/>
      <c r="N4" s="14" t="s">
        <v>20</v>
      </c>
    </row>
    <row r="5" spans="1:15" x14ac:dyDescent="0.2">
      <c r="A5" s="10">
        <v>4701366877</v>
      </c>
      <c r="B5" s="11" t="s">
        <v>12</v>
      </c>
      <c r="C5" s="11" t="s">
        <v>44</v>
      </c>
      <c r="D5" s="11">
        <v>79</v>
      </c>
      <c r="E5" s="7" t="s">
        <v>199</v>
      </c>
      <c r="F5" s="13">
        <v>43305</v>
      </c>
      <c r="G5" s="13" t="s">
        <v>14</v>
      </c>
      <c r="H5" s="11" t="s">
        <v>15</v>
      </c>
      <c r="I5" s="11" t="s">
        <v>16</v>
      </c>
      <c r="J5" s="11" t="s">
        <v>17</v>
      </c>
      <c r="K5" s="11">
        <v>2</v>
      </c>
      <c r="L5" s="11" t="s">
        <v>194</v>
      </c>
      <c r="M5" s="11"/>
      <c r="N5" s="14" t="s">
        <v>45</v>
      </c>
    </row>
    <row r="6" spans="1:15" x14ac:dyDescent="0.2">
      <c r="A6" s="10"/>
      <c r="B6" s="11" t="s">
        <v>12</v>
      </c>
      <c r="C6" s="11" t="s">
        <v>13</v>
      </c>
      <c r="D6" s="11">
        <v>670</v>
      </c>
      <c r="E6" s="7" t="s">
        <v>199</v>
      </c>
      <c r="F6" s="13">
        <v>43305</v>
      </c>
      <c r="G6" s="13" t="s">
        <v>14</v>
      </c>
      <c r="H6" s="11" t="s">
        <v>15</v>
      </c>
      <c r="I6" s="11" t="s">
        <v>16</v>
      </c>
      <c r="J6" s="11" t="s">
        <v>17</v>
      </c>
      <c r="K6" s="11">
        <v>2</v>
      </c>
      <c r="L6" s="11" t="s">
        <v>194</v>
      </c>
      <c r="M6" s="11"/>
      <c r="N6" s="14" t="s">
        <v>18</v>
      </c>
    </row>
    <row r="7" spans="1:15" x14ac:dyDescent="0.2">
      <c r="A7" s="10">
        <v>4701366878</v>
      </c>
      <c r="B7" s="11" t="s">
        <v>12</v>
      </c>
      <c r="C7" s="11" t="s">
        <v>27</v>
      </c>
      <c r="D7" s="11">
        <v>139</v>
      </c>
      <c r="E7" s="7" t="s">
        <v>199</v>
      </c>
      <c r="F7" s="13">
        <v>43305</v>
      </c>
      <c r="G7" s="13" t="s">
        <v>22</v>
      </c>
      <c r="H7" s="11" t="s">
        <v>23</v>
      </c>
      <c r="I7" s="11" t="s">
        <v>24</v>
      </c>
      <c r="J7" s="11" t="s">
        <v>25</v>
      </c>
      <c r="K7" s="11">
        <v>3</v>
      </c>
      <c r="L7" s="11" t="s">
        <v>195</v>
      </c>
      <c r="M7" s="11"/>
      <c r="N7" s="14" t="s">
        <v>28</v>
      </c>
    </row>
    <row r="8" spans="1:15" x14ac:dyDescent="0.2">
      <c r="A8" s="10"/>
      <c r="B8" s="11" t="s">
        <v>92</v>
      </c>
      <c r="C8" s="11" t="s">
        <v>109</v>
      </c>
      <c r="D8" s="11">
        <v>23</v>
      </c>
      <c r="E8" s="7" t="s">
        <v>199</v>
      </c>
      <c r="F8" s="13">
        <v>43305</v>
      </c>
      <c r="G8" s="13" t="s">
        <v>22</v>
      </c>
      <c r="H8" s="11" t="s">
        <v>23</v>
      </c>
      <c r="I8" s="11" t="s">
        <v>24</v>
      </c>
      <c r="J8" s="11" t="s">
        <v>25</v>
      </c>
      <c r="K8" s="11">
        <v>3</v>
      </c>
      <c r="L8" s="11" t="s">
        <v>195</v>
      </c>
      <c r="M8" s="11"/>
      <c r="N8" s="14" t="s">
        <v>110</v>
      </c>
    </row>
    <row r="9" spans="1:15" x14ac:dyDescent="0.2">
      <c r="A9" s="10"/>
      <c r="B9" s="11" t="s">
        <v>12</v>
      </c>
      <c r="C9" s="11" t="s">
        <v>31</v>
      </c>
      <c r="D9" s="11">
        <v>30</v>
      </c>
      <c r="E9" s="7" t="s">
        <v>199</v>
      </c>
      <c r="F9" s="13">
        <v>43305</v>
      </c>
      <c r="G9" s="13" t="s">
        <v>22</v>
      </c>
      <c r="H9" s="11" t="s">
        <v>23</v>
      </c>
      <c r="I9" s="11" t="s">
        <v>24</v>
      </c>
      <c r="J9" s="11" t="s">
        <v>25</v>
      </c>
      <c r="K9" s="11">
        <v>3</v>
      </c>
      <c r="L9" s="11" t="s">
        <v>195</v>
      </c>
      <c r="M9" s="11"/>
      <c r="N9" s="14" t="s">
        <v>32</v>
      </c>
    </row>
    <row r="10" spans="1:15" x14ac:dyDescent="0.2">
      <c r="A10" s="10"/>
      <c r="B10" s="11" t="s">
        <v>92</v>
      </c>
      <c r="C10" s="11" t="s">
        <v>96</v>
      </c>
      <c r="D10" s="11">
        <v>50</v>
      </c>
      <c r="E10" s="7" t="s">
        <v>199</v>
      </c>
      <c r="F10" s="13">
        <v>43305</v>
      </c>
      <c r="G10" s="13" t="s">
        <v>22</v>
      </c>
      <c r="H10" s="11" t="s">
        <v>23</v>
      </c>
      <c r="I10" s="11" t="s">
        <v>24</v>
      </c>
      <c r="J10" s="11" t="s">
        <v>25</v>
      </c>
      <c r="K10" s="11">
        <v>3</v>
      </c>
      <c r="L10" s="11" t="s">
        <v>195</v>
      </c>
      <c r="M10" s="11"/>
      <c r="N10" s="14" t="s">
        <v>97</v>
      </c>
    </row>
    <row r="11" spans="1:15" x14ac:dyDescent="0.2">
      <c r="A11" s="10">
        <v>4701366879</v>
      </c>
      <c r="B11" s="11" t="s">
        <v>33</v>
      </c>
      <c r="C11" s="11" t="s">
        <v>34</v>
      </c>
      <c r="D11" s="11">
        <v>85</v>
      </c>
      <c r="E11" s="7" t="s">
        <v>199</v>
      </c>
      <c r="F11" s="13">
        <v>43305</v>
      </c>
      <c r="G11" s="13" t="s">
        <v>22</v>
      </c>
      <c r="H11" s="11" t="s">
        <v>23</v>
      </c>
      <c r="I11" s="11" t="s">
        <v>24</v>
      </c>
      <c r="J11" s="11" t="s">
        <v>25</v>
      </c>
      <c r="K11" s="11">
        <v>3</v>
      </c>
      <c r="L11" s="11" t="s">
        <v>195</v>
      </c>
      <c r="M11" s="11"/>
      <c r="N11" s="14" t="s">
        <v>35</v>
      </c>
    </row>
    <row r="12" spans="1:15" x14ac:dyDescent="0.2">
      <c r="A12" s="10"/>
      <c r="B12" s="11" t="s">
        <v>33</v>
      </c>
      <c r="C12" s="11" t="s">
        <v>36</v>
      </c>
      <c r="D12" s="11">
        <v>12</v>
      </c>
      <c r="E12" s="7" t="s">
        <v>199</v>
      </c>
      <c r="F12" s="13">
        <v>43305</v>
      </c>
      <c r="G12" s="13" t="s">
        <v>22</v>
      </c>
      <c r="H12" s="11" t="s">
        <v>23</v>
      </c>
      <c r="I12" s="11" t="s">
        <v>24</v>
      </c>
      <c r="J12" s="11" t="s">
        <v>25</v>
      </c>
      <c r="K12" s="11">
        <v>3</v>
      </c>
      <c r="L12" s="11" t="s">
        <v>195</v>
      </c>
      <c r="M12" s="11"/>
      <c r="N12" s="14" t="s">
        <v>37</v>
      </c>
    </row>
    <row r="13" spans="1:15" x14ac:dyDescent="0.2">
      <c r="A13" s="10">
        <v>4701366880</v>
      </c>
      <c r="B13" s="11" t="s">
        <v>92</v>
      </c>
      <c r="C13" s="11" t="s">
        <v>96</v>
      </c>
      <c r="D13" s="11">
        <v>190</v>
      </c>
      <c r="E13" s="7" t="s">
        <v>199</v>
      </c>
      <c r="F13" s="13">
        <v>43305</v>
      </c>
      <c r="G13" s="13" t="s">
        <v>46</v>
      </c>
      <c r="H13" s="11" t="s">
        <v>169</v>
      </c>
      <c r="I13" s="11" t="s">
        <v>24</v>
      </c>
      <c r="J13" s="11" t="s">
        <v>25</v>
      </c>
      <c r="K13" s="11">
        <v>4</v>
      </c>
      <c r="L13" s="11" t="s">
        <v>194</v>
      </c>
      <c r="M13" s="11"/>
      <c r="N13" s="14" t="s">
        <v>97</v>
      </c>
    </row>
    <row r="14" spans="1:15" x14ac:dyDescent="0.2">
      <c r="A14" s="10">
        <v>4701366881</v>
      </c>
      <c r="B14" s="11" t="s">
        <v>33</v>
      </c>
      <c r="C14" s="11" t="s">
        <v>34</v>
      </c>
      <c r="D14" s="11">
        <v>150</v>
      </c>
      <c r="E14" s="7" t="s">
        <v>199</v>
      </c>
      <c r="F14" s="13">
        <v>43305</v>
      </c>
      <c r="G14" s="13" t="s">
        <v>46</v>
      </c>
      <c r="H14" s="11" t="s">
        <v>169</v>
      </c>
      <c r="I14" s="11" t="s">
        <v>24</v>
      </c>
      <c r="J14" s="11" t="s">
        <v>25</v>
      </c>
      <c r="K14" s="11">
        <v>4</v>
      </c>
      <c r="L14" s="11" t="s">
        <v>194</v>
      </c>
      <c r="M14" s="11"/>
      <c r="N14" s="14" t="s">
        <v>35</v>
      </c>
    </row>
    <row r="15" spans="1:15" x14ac:dyDescent="0.2">
      <c r="A15" s="10">
        <v>4701366882</v>
      </c>
      <c r="B15" s="11" t="s">
        <v>12</v>
      </c>
      <c r="C15" s="11" t="s">
        <v>44</v>
      </c>
      <c r="D15" s="11">
        <v>41</v>
      </c>
      <c r="E15" s="7" t="s">
        <v>199</v>
      </c>
      <c r="F15" s="13">
        <v>43305</v>
      </c>
      <c r="G15" s="13" t="s">
        <v>46</v>
      </c>
      <c r="H15" s="11" t="s">
        <v>169</v>
      </c>
      <c r="I15" s="11" t="s">
        <v>16</v>
      </c>
      <c r="J15" s="11" t="s">
        <v>17</v>
      </c>
      <c r="K15" s="11">
        <v>4</v>
      </c>
      <c r="L15" s="11" t="s">
        <v>194</v>
      </c>
      <c r="M15" s="11"/>
      <c r="N15" s="14" t="s">
        <v>45</v>
      </c>
    </row>
    <row r="16" spans="1:15" x14ac:dyDescent="0.2">
      <c r="A16" s="10"/>
      <c r="B16" s="11" t="s">
        <v>12</v>
      </c>
      <c r="C16" s="11" t="s">
        <v>19</v>
      </c>
      <c r="D16" s="11">
        <v>440</v>
      </c>
      <c r="E16" s="7" t="s">
        <v>199</v>
      </c>
      <c r="F16" s="13">
        <v>43305</v>
      </c>
      <c r="G16" s="13" t="s">
        <v>46</v>
      </c>
      <c r="H16" s="11" t="s">
        <v>169</v>
      </c>
      <c r="I16" s="11" t="s">
        <v>16</v>
      </c>
      <c r="J16" s="11" t="s">
        <v>17</v>
      </c>
      <c r="K16" s="11">
        <v>4</v>
      </c>
      <c r="L16" s="11" t="s">
        <v>194</v>
      </c>
      <c r="M16" s="11"/>
      <c r="N16" s="14" t="s">
        <v>20</v>
      </c>
    </row>
    <row r="17" spans="1:14" x14ac:dyDescent="0.2">
      <c r="A17" s="10"/>
      <c r="B17" s="11" t="s">
        <v>12</v>
      </c>
      <c r="C17" s="11" t="s">
        <v>57</v>
      </c>
      <c r="D17" s="11">
        <v>162</v>
      </c>
      <c r="E17" s="7" t="s">
        <v>199</v>
      </c>
      <c r="F17" s="13">
        <v>43305</v>
      </c>
      <c r="G17" s="13" t="s">
        <v>46</v>
      </c>
      <c r="H17" s="11" t="s">
        <v>169</v>
      </c>
      <c r="I17" s="11" t="s">
        <v>16</v>
      </c>
      <c r="J17" s="11" t="s">
        <v>17</v>
      </c>
      <c r="K17" s="11">
        <v>4</v>
      </c>
      <c r="L17" s="11" t="s">
        <v>194</v>
      </c>
      <c r="M17" s="11"/>
      <c r="N17" s="14" t="s">
        <v>58</v>
      </c>
    </row>
    <row r="18" spans="1:14" x14ac:dyDescent="0.2">
      <c r="A18" s="10">
        <v>4701366883</v>
      </c>
      <c r="B18" s="11" t="s">
        <v>12</v>
      </c>
      <c r="C18" s="11" t="s">
        <v>19</v>
      </c>
      <c r="D18" s="11">
        <v>898</v>
      </c>
      <c r="E18" s="7" t="s">
        <v>199</v>
      </c>
      <c r="F18" s="13">
        <v>43305</v>
      </c>
      <c r="G18" s="13" t="s">
        <v>46</v>
      </c>
      <c r="H18" s="11" t="s">
        <v>169</v>
      </c>
      <c r="I18" s="11" t="s">
        <v>16</v>
      </c>
      <c r="J18" s="11" t="s">
        <v>17</v>
      </c>
      <c r="K18" s="11">
        <v>5</v>
      </c>
      <c r="L18" s="11" t="s">
        <v>194</v>
      </c>
      <c r="M18" s="11"/>
      <c r="N18" s="14" t="s">
        <v>20</v>
      </c>
    </row>
    <row r="19" spans="1:14" x14ac:dyDescent="0.2">
      <c r="A19" s="10"/>
      <c r="B19" s="11" t="s">
        <v>12</v>
      </c>
      <c r="C19" s="11" t="s">
        <v>42</v>
      </c>
      <c r="D19" s="11">
        <v>240</v>
      </c>
      <c r="E19" s="7" t="s">
        <v>199</v>
      </c>
      <c r="F19" s="13">
        <v>43305</v>
      </c>
      <c r="G19" s="13" t="s">
        <v>46</v>
      </c>
      <c r="H19" s="11" t="s">
        <v>169</v>
      </c>
      <c r="I19" s="11" t="s">
        <v>16</v>
      </c>
      <c r="J19" s="11" t="s">
        <v>17</v>
      </c>
      <c r="K19" s="11">
        <v>5</v>
      </c>
      <c r="L19" s="11" t="s">
        <v>194</v>
      </c>
      <c r="M19" s="11"/>
      <c r="N19" s="14" t="s">
        <v>43</v>
      </c>
    </row>
    <row r="20" spans="1:14" x14ac:dyDescent="0.2">
      <c r="A20" s="10">
        <v>4701366884</v>
      </c>
      <c r="B20" s="11" t="s">
        <v>12</v>
      </c>
      <c r="C20" s="11" t="s">
        <v>13</v>
      </c>
      <c r="D20" s="11">
        <v>83</v>
      </c>
      <c r="E20" s="7" t="s">
        <v>199</v>
      </c>
      <c r="F20" s="13">
        <v>43305</v>
      </c>
      <c r="G20" s="13" t="s">
        <v>46</v>
      </c>
      <c r="H20" s="11" t="s">
        <v>169</v>
      </c>
      <c r="I20" s="11" t="s">
        <v>16</v>
      </c>
      <c r="J20" s="11" t="s">
        <v>17</v>
      </c>
      <c r="K20" s="11">
        <v>6</v>
      </c>
      <c r="L20" s="11" t="s">
        <v>194</v>
      </c>
      <c r="M20" s="11"/>
      <c r="N20" s="14" t="s">
        <v>18</v>
      </c>
    </row>
    <row r="21" spans="1:14" x14ac:dyDescent="0.2">
      <c r="A21" s="10"/>
      <c r="B21" s="11" t="s">
        <v>12</v>
      </c>
      <c r="C21" s="11" t="s">
        <v>38</v>
      </c>
      <c r="D21" s="11">
        <v>240</v>
      </c>
      <c r="E21" s="7" t="s">
        <v>199</v>
      </c>
      <c r="F21" s="13">
        <v>43305</v>
      </c>
      <c r="G21" s="13" t="s">
        <v>46</v>
      </c>
      <c r="H21" s="11" t="s">
        <v>169</v>
      </c>
      <c r="I21" s="11" t="s">
        <v>16</v>
      </c>
      <c r="J21" s="11" t="s">
        <v>17</v>
      </c>
      <c r="K21" s="11">
        <v>6</v>
      </c>
      <c r="L21" s="11" t="s">
        <v>194</v>
      </c>
      <c r="M21" s="11"/>
      <c r="N21" s="14" t="s">
        <v>39</v>
      </c>
    </row>
    <row r="22" spans="1:14" x14ac:dyDescent="0.2">
      <c r="A22" s="10"/>
      <c r="B22" s="11" t="s">
        <v>12</v>
      </c>
      <c r="C22" s="11" t="s">
        <v>19</v>
      </c>
      <c r="D22" s="32">
        <f>600-8</f>
        <v>592</v>
      </c>
      <c r="E22" s="7" t="s">
        <v>199</v>
      </c>
      <c r="F22" s="13">
        <v>43305</v>
      </c>
      <c r="G22" s="13" t="s">
        <v>46</v>
      </c>
      <c r="H22" s="11" t="s">
        <v>169</v>
      </c>
      <c r="I22" s="11" t="s">
        <v>16</v>
      </c>
      <c r="J22" s="11" t="s">
        <v>17</v>
      </c>
      <c r="K22" s="11">
        <v>6</v>
      </c>
      <c r="L22" s="11" t="s">
        <v>194</v>
      </c>
      <c r="M22" s="11"/>
      <c r="N22" s="14" t="s">
        <v>20</v>
      </c>
    </row>
    <row r="23" spans="1:14" x14ac:dyDescent="0.2">
      <c r="A23" s="10"/>
      <c r="B23" s="11" t="s">
        <v>12</v>
      </c>
      <c r="C23" s="11" t="s">
        <v>65</v>
      </c>
      <c r="D23" s="11">
        <v>10</v>
      </c>
      <c r="E23" s="7" t="s">
        <v>199</v>
      </c>
      <c r="F23" s="13">
        <v>43305</v>
      </c>
      <c r="G23" s="13" t="s">
        <v>46</v>
      </c>
      <c r="H23" s="11" t="s">
        <v>169</v>
      </c>
      <c r="I23" s="11" t="s">
        <v>16</v>
      </c>
      <c r="J23" s="11" t="s">
        <v>17</v>
      </c>
      <c r="K23" s="11">
        <v>6</v>
      </c>
      <c r="L23" s="11" t="s">
        <v>194</v>
      </c>
      <c r="M23" s="11"/>
      <c r="N23" s="14" t="s">
        <v>66</v>
      </c>
    </row>
    <row r="24" spans="1:14" x14ac:dyDescent="0.2">
      <c r="A24" s="10"/>
      <c r="B24" s="11" t="s">
        <v>12</v>
      </c>
      <c r="C24" s="11" t="s">
        <v>42</v>
      </c>
      <c r="D24" s="11">
        <v>120</v>
      </c>
      <c r="E24" s="7" t="s">
        <v>199</v>
      </c>
      <c r="F24" s="13">
        <v>43305</v>
      </c>
      <c r="G24" s="13" t="s">
        <v>46</v>
      </c>
      <c r="H24" s="11" t="s">
        <v>169</v>
      </c>
      <c r="I24" s="11" t="s">
        <v>16</v>
      </c>
      <c r="J24" s="11" t="s">
        <v>17</v>
      </c>
      <c r="K24" s="11">
        <v>6</v>
      </c>
      <c r="L24" s="11" t="s">
        <v>194</v>
      </c>
      <c r="M24" s="11"/>
      <c r="N24" s="14" t="s">
        <v>43</v>
      </c>
    </row>
    <row r="25" spans="1:14" x14ac:dyDescent="0.2">
      <c r="A25" s="10">
        <v>4701366885</v>
      </c>
      <c r="B25" s="11" t="s">
        <v>12</v>
      </c>
      <c r="C25" s="11" t="s">
        <v>38</v>
      </c>
      <c r="D25" s="11">
        <v>330</v>
      </c>
      <c r="E25" s="7" t="s">
        <v>199</v>
      </c>
      <c r="F25" s="13">
        <v>43305</v>
      </c>
      <c r="G25" s="13" t="s">
        <v>46</v>
      </c>
      <c r="H25" s="11" t="s">
        <v>169</v>
      </c>
      <c r="I25" s="11" t="s">
        <v>16</v>
      </c>
      <c r="J25" s="11" t="s">
        <v>17</v>
      </c>
      <c r="K25" s="11">
        <v>7</v>
      </c>
      <c r="L25" s="11" t="s">
        <v>194</v>
      </c>
      <c r="M25" s="11"/>
      <c r="N25" s="14" t="s">
        <v>39</v>
      </c>
    </row>
    <row r="26" spans="1:14" x14ac:dyDescent="0.2">
      <c r="A26" s="10"/>
      <c r="B26" s="11" t="s">
        <v>12</v>
      </c>
      <c r="C26" s="11" t="s">
        <v>19</v>
      </c>
      <c r="D26" s="11">
        <v>760</v>
      </c>
      <c r="E26" s="7" t="s">
        <v>199</v>
      </c>
      <c r="F26" s="13">
        <v>43305</v>
      </c>
      <c r="G26" s="13" t="s">
        <v>46</v>
      </c>
      <c r="H26" s="11" t="s">
        <v>169</v>
      </c>
      <c r="I26" s="11" t="s">
        <v>16</v>
      </c>
      <c r="J26" s="11" t="s">
        <v>17</v>
      </c>
      <c r="K26" s="11">
        <v>7</v>
      </c>
      <c r="L26" s="11" t="s">
        <v>194</v>
      </c>
      <c r="M26" s="11"/>
      <c r="N26" s="14" t="s">
        <v>20</v>
      </c>
    </row>
    <row r="27" spans="1:14" x14ac:dyDescent="0.2">
      <c r="A27" s="10">
        <v>4701366886</v>
      </c>
      <c r="B27" s="11" t="s">
        <v>12</v>
      </c>
      <c r="C27" s="11" t="s">
        <v>21</v>
      </c>
      <c r="D27" s="11">
        <v>90</v>
      </c>
      <c r="E27" s="7" t="s">
        <v>199</v>
      </c>
      <c r="F27" s="13">
        <v>43305</v>
      </c>
      <c r="G27" s="13" t="s">
        <v>111</v>
      </c>
      <c r="H27" s="11" t="s">
        <v>184</v>
      </c>
      <c r="I27" s="11" t="s">
        <v>24</v>
      </c>
      <c r="J27" s="11" t="s">
        <v>25</v>
      </c>
      <c r="K27" s="11">
        <v>8</v>
      </c>
      <c r="L27" s="11" t="s">
        <v>194</v>
      </c>
      <c r="M27" s="11"/>
      <c r="N27" s="14" t="s">
        <v>26</v>
      </c>
    </row>
    <row r="28" spans="1:14" x14ac:dyDescent="0.2">
      <c r="A28" s="10"/>
      <c r="B28" s="11" t="s">
        <v>12</v>
      </c>
      <c r="C28" s="11" t="s">
        <v>27</v>
      </c>
      <c r="D28" s="11">
        <v>90</v>
      </c>
      <c r="E28" s="7" t="s">
        <v>199</v>
      </c>
      <c r="F28" s="13">
        <v>43305</v>
      </c>
      <c r="G28" s="13" t="s">
        <v>111</v>
      </c>
      <c r="H28" s="11" t="s">
        <v>184</v>
      </c>
      <c r="I28" s="11" t="s">
        <v>24</v>
      </c>
      <c r="J28" s="11" t="s">
        <v>25</v>
      </c>
      <c r="K28" s="11">
        <v>8</v>
      </c>
      <c r="L28" s="11" t="s">
        <v>194</v>
      </c>
      <c r="M28" s="11"/>
      <c r="N28" s="14" t="s">
        <v>28</v>
      </c>
    </row>
    <row r="29" spans="1:14" x14ac:dyDescent="0.2">
      <c r="A29" s="10"/>
      <c r="B29" s="11" t="s">
        <v>12</v>
      </c>
      <c r="C29" s="11" t="s">
        <v>29</v>
      </c>
      <c r="D29" s="11">
        <v>22</v>
      </c>
      <c r="E29" s="7" t="s">
        <v>199</v>
      </c>
      <c r="F29" s="13">
        <v>43305</v>
      </c>
      <c r="G29" s="13" t="s">
        <v>111</v>
      </c>
      <c r="H29" s="11" t="s">
        <v>184</v>
      </c>
      <c r="I29" s="11" t="s">
        <v>24</v>
      </c>
      <c r="J29" s="11" t="s">
        <v>25</v>
      </c>
      <c r="K29" s="11">
        <v>8</v>
      </c>
      <c r="L29" s="11" t="s">
        <v>194</v>
      </c>
      <c r="M29" s="11"/>
      <c r="N29" s="14" t="s">
        <v>30</v>
      </c>
    </row>
    <row r="30" spans="1:14" x14ac:dyDescent="0.2">
      <c r="A30" s="10"/>
      <c r="B30" s="11" t="s">
        <v>92</v>
      </c>
      <c r="C30" s="11" t="s">
        <v>109</v>
      </c>
      <c r="D30" s="11">
        <v>100</v>
      </c>
      <c r="E30" s="7" t="s">
        <v>199</v>
      </c>
      <c r="F30" s="13">
        <v>43305</v>
      </c>
      <c r="G30" s="13" t="s">
        <v>111</v>
      </c>
      <c r="H30" s="11" t="s">
        <v>184</v>
      </c>
      <c r="I30" s="11" t="s">
        <v>24</v>
      </c>
      <c r="J30" s="11" t="s">
        <v>25</v>
      </c>
      <c r="K30" s="11">
        <v>8</v>
      </c>
      <c r="L30" s="11" t="s">
        <v>194</v>
      </c>
      <c r="M30" s="11"/>
      <c r="N30" s="14" t="s">
        <v>110</v>
      </c>
    </row>
    <row r="31" spans="1:14" x14ac:dyDescent="0.2">
      <c r="A31" s="10"/>
      <c r="B31" s="11" t="s">
        <v>92</v>
      </c>
      <c r="C31" s="11" t="s">
        <v>96</v>
      </c>
      <c r="D31" s="11">
        <v>200</v>
      </c>
      <c r="E31" s="7" t="s">
        <v>199</v>
      </c>
      <c r="F31" s="13">
        <v>43305</v>
      </c>
      <c r="G31" s="13" t="s">
        <v>111</v>
      </c>
      <c r="H31" s="11" t="s">
        <v>184</v>
      </c>
      <c r="I31" s="11" t="s">
        <v>24</v>
      </c>
      <c r="J31" s="11" t="s">
        <v>25</v>
      </c>
      <c r="K31" s="11">
        <v>8</v>
      </c>
      <c r="L31" s="11" t="s">
        <v>194</v>
      </c>
      <c r="M31" s="11"/>
      <c r="N31" s="14" t="s">
        <v>97</v>
      </c>
    </row>
    <row r="32" spans="1:14" x14ac:dyDescent="0.2">
      <c r="A32" s="10"/>
      <c r="B32" s="11" t="s">
        <v>12</v>
      </c>
      <c r="C32" s="11" t="s">
        <v>49</v>
      </c>
      <c r="D32" s="11">
        <v>100</v>
      </c>
      <c r="E32" s="7" t="s">
        <v>199</v>
      </c>
      <c r="F32" s="13">
        <v>43305</v>
      </c>
      <c r="G32" s="13" t="s">
        <v>111</v>
      </c>
      <c r="H32" s="11" t="s">
        <v>184</v>
      </c>
      <c r="I32" s="11" t="s">
        <v>24</v>
      </c>
      <c r="J32" s="11" t="s">
        <v>25</v>
      </c>
      <c r="K32" s="11">
        <v>8</v>
      </c>
      <c r="L32" s="11" t="s">
        <v>194</v>
      </c>
      <c r="M32" s="11"/>
      <c r="N32" s="14" t="s">
        <v>50</v>
      </c>
    </row>
    <row r="33" spans="1:14" x14ac:dyDescent="0.2">
      <c r="A33" s="10">
        <v>4701366887</v>
      </c>
      <c r="B33" s="11" t="s">
        <v>33</v>
      </c>
      <c r="C33" s="11" t="s">
        <v>34</v>
      </c>
      <c r="D33" s="11">
        <v>150</v>
      </c>
      <c r="E33" s="7" t="s">
        <v>199</v>
      </c>
      <c r="F33" s="13">
        <v>43305</v>
      </c>
      <c r="G33" s="13" t="s">
        <v>111</v>
      </c>
      <c r="H33" s="11" t="s">
        <v>184</v>
      </c>
      <c r="I33" s="11" t="s">
        <v>24</v>
      </c>
      <c r="J33" s="11" t="s">
        <v>25</v>
      </c>
      <c r="K33" s="11">
        <v>8</v>
      </c>
      <c r="L33" s="11" t="s">
        <v>194</v>
      </c>
      <c r="M33" s="11"/>
      <c r="N33" s="14" t="s">
        <v>35</v>
      </c>
    </row>
    <row r="34" spans="1:14" x14ac:dyDescent="0.2">
      <c r="A34" s="10"/>
      <c r="B34" s="11" t="s">
        <v>33</v>
      </c>
      <c r="C34" s="11" t="s">
        <v>36</v>
      </c>
      <c r="D34" s="11">
        <v>100</v>
      </c>
      <c r="E34" s="7" t="s">
        <v>199</v>
      </c>
      <c r="F34" s="13">
        <v>43305</v>
      </c>
      <c r="G34" s="13" t="s">
        <v>111</v>
      </c>
      <c r="H34" s="11" t="s">
        <v>184</v>
      </c>
      <c r="I34" s="11" t="s">
        <v>24</v>
      </c>
      <c r="J34" s="11" t="s">
        <v>25</v>
      </c>
      <c r="K34" s="11">
        <v>8</v>
      </c>
      <c r="L34" s="11" t="s">
        <v>194</v>
      </c>
      <c r="M34" s="11"/>
      <c r="N34" s="14" t="s">
        <v>37</v>
      </c>
    </row>
    <row r="35" spans="1:14" x14ac:dyDescent="0.2">
      <c r="A35" s="10"/>
      <c r="B35" s="11" t="s">
        <v>33</v>
      </c>
      <c r="C35" s="11" t="s">
        <v>53</v>
      </c>
      <c r="D35" s="11">
        <v>50</v>
      </c>
      <c r="E35" s="7" t="s">
        <v>199</v>
      </c>
      <c r="F35" s="13">
        <v>43305</v>
      </c>
      <c r="G35" s="13" t="s">
        <v>111</v>
      </c>
      <c r="H35" s="11" t="s">
        <v>184</v>
      </c>
      <c r="I35" s="11" t="s">
        <v>24</v>
      </c>
      <c r="J35" s="11" t="s">
        <v>25</v>
      </c>
      <c r="K35" s="11">
        <v>8</v>
      </c>
      <c r="L35" s="11" t="s">
        <v>194</v>
      </c>
      <c r="M35" s="11"/>
      <c r="N35" s="14" t="s">
        <v>54</v>
      </c>
    </row>
    <row r="36" spans="1:14" x14ac:dyDescent="0.2">
      <c r="A36" s="10">
        <v>4701366888</v>
      </c>
      <c r="B36" s="11" t="s">
        <v>12</v>
      </c>
      <c r="C36" s="11" t="s">
        <v>44</v>
      </c>
      <c r="D36" s="11">
        <v>25</v>
      </c>
      <c r="E36" s="7" t="s">
        <v>199</v>
      </c>
      <c r="F36" s="13">
        <v>43305</v>
      </c>
      <c r="G36" s="13" t="s">
        <v>111</v>
      </c>
      <c r="H36" s="11" t="s">
        <v>184</v>
      </c>
      <c r="I36" s="11" t="s">
        <v>16</v>
      </c>
      <c r="J36" s="11" t="s">
        <v>17</v>
      </c>
      <c r="K36" s="11">
        <v>9</v>
      </c>
      <c r="L36" s="11" t="s">
        <v>194</v>
      </c>
      <c r="M36" s="11"/>
      <c r="N36" s="14" t="s">
        <v>45</v>
      </c>
    </row>
    <row r="37" spans="1:14" x14ac:dyDescent="0.2">
      <c r="A37" s="10"/>
      <c r="B37" s="11" t="s">
        <v>12</v>
      </c>
      <c r="C37" s="11" t="s">
        <v>19</v>
      </c>
      <c r="D37" s="11">
        <v>660</v>
      </c>
      <c r="E37" s="7" t="s">
        <v>199</v>
      </c>
      <c r="F37" s="13">
        <v>43305</v>
      </c>
      <c r="G37" s="13" t="s">
        <v>111</v>
      </c>
      <c r="H37" s="11" t="s">
        <v>184</v>
      </c>
      <c r="I37" s="11" t="s">
        <v>16</v>
      </c>
      <c r="J37" s="11" t="s">
        <v>17</v>
      </c>
      <c r="K37" s="11">
        <v>9</v>
      </c>
      <c r="L37" s="11" t="s">
        <v>194</v>
      </c>
      <c r="M37" s="11"/>
      <c r="N37" s="14" t="s">
        <v>20</v>
      </c>
    </row>
    <row r="38" spans="1:14" x14ac:dyDescent="0.2">
      <c r="A38" s="10"/>
      <c r="B38" s="11" t="s">
        <v>12</v>
      </c>
      <c r="C38" s="11" t="s">
        <v>57</v>
      </c>
      <c r="D38" s="11">
        <v>82</v>
      </c>
      <c r="E38" s="7" t="s">
        <v>199</v>
      </c>
      <c r="F38" s="13">
        <v>43305</v>
      </c>
      <c r="G38" s="13" t="s">
        <v>111</v>
      </c>
      <c r="H38" s="11" t="s">
        <v>184</v>
      </c>
      <c r="I38" s="11" t="s">
        <v>16</v>
      </c>
      <c r="J38" s="11" t="s">
        <v>17</v>
      </c>
      <c r="K38" s="11">
        <v>9</v>
      </c>
      <c r="L38" s="11" t="s">
        <v>194</v>
      </c>
      <c r="M38" s="11"/>
      <c r="N38" s="14" t="s">
        <v>58</v>
      </c>
    </row>
    <row r="39" spans="1:14" x14ac:dyDescent="0.2">
      <c r="A39" s="10"/>
      <c r="B39" s="11" t="s">
        <v>12</v>
      </c>
      <c r="C39" s="11" t="s">
        <v>42</v>
      </c>
      <c r="D39" s="11">
        <v>240</v>
      </c>
      <c r="E39" s="7" t="s">
        <v>199</v>
      </c>
      <c r="F39" s="13">
        <v>43305</v>
      </c>
      <c r="G39" s="13" t="s">
        <v>111</v>
      </c>
      <c r="H39" s="11" t="s">
        <v>184</v>
      </c>
      <c r="I39" s="11" t="s">
        <v>16</v>
      </c>
      <c r="J39" s="11" t="s">
        <v>17</v>
      </c>
      <c r="K39" s="11">
        <v>9</v>
      </c>
      <c r="L39" s="11" t="s">
        <v>194</v>
      </c>
      <c r="M39" s="11"/>
      <c r="N39" s="14" t="s">
        <v>43</v>
      </c>
    </row>
    <row r="40" spans="1:14" x14ac:dyDescent="0.2">
      <c r="A40" s="10">
        <v>4701366889</v>
      </c>
      <c r="B40" s="11" t="s">
        <v>12</v>
      </c>
      <c r="C40" s="11" t="s">
        <v>19</v>
      </c>
      <c r="D40" s="11">
        <v>775</v>
      </c>
      <c r="E40" s="7" t="s">
        <v>199</v>
      </c>
      <c r="F40" s="13">
        <v>43305</v>
      </c>
      <c r="G40" s="13" t="s">
        <v>60</v>
      </c>
      <c r="H40" s="11" t="s">
        <v>159</v>
      </c>
      <c r="I40" s="11" t="s">
        <v>16</v>
      </c>
      <c r="J40" s="11" t="s">
        <v>17</v>
      </c>
      <c r="K40" s="11">
        <v>10</v>
      </c>
      <c r="L40" s="11" t="s">
        <v>56</v>
      </c>
      <c r="M40" s="11"/>
      <c r="N40" s="14" t="s">
        <v>20</v>
      </c>
    </row>
    <row r="41" spans="1:14" x14ac:dyDescent="0.2">
      <c r="A41" s="10">
        <v>4701366890</v>
      </c>
      <c r="B41" s="11" t="s">
        <v>12</v>
      </c>
      <c r="C41" s="11" t="s">
        <v>13</v>
      </c>
      <c r="D41" s="11">
        <v>10</v>
      </c>
      <c r="E41" s="7" t="s">
        <v>199</v>
      </c>
      <c r="F41" s="13">
        <v>43305</v>
      </c>
      <c r="G41" s="13" t="s">
        <v>121</v>
      </c>
      <c r="H41" s="11" t="s">
        <v>173</v>
      </c>
      <c r="I41" s="11" t="s">
        <v>24</v>
      </c>
      <c r="J41" s="11" t="s">
        <v>25</v>
      </c>
      <c r="K41" s="11">
        <v>11</v>
      </c>
      <c r="L41" s="11" t="s">
        <v>56</v>
      </c>
      <c r="M41" s="11" t="s">
        <v>122</v>
      </c>
      <c r="N41" s="14" t="s">
        <v>18</v>
      </c>
    </row>
    <row r="42" spans="1:14" x14ac:dyDescent="0.2">
      <c r="A42" s="10"/>
      <c r="B42" s="11" t="s">
        <v>12</v>
      </c>
      <c r="C42" s="11" t="s">
        <v>29</v>
      </c>
      <c r="D42" s="11">
        <v>5</v>
      </c>
      <c r="E42" s="7" t="s">
        <v>199</v>
      </c>
      <c r="F42" s="13">
        <v>43305</v>
      </c>
      <c r="G42" s="13" t="s">
        <v>121</v>
      </c>
      <c r="H42" s="11" t="s">
        <v>173</v>
      </c>
      <c r="I42" s="11" t="s">
        <v>24</v>
      </c>
      <c r="J42" s="11" t="s">
        <v>25</v>
      </c>
      <c r="K42" s="11">
        <v>11</v>
      </c>
      <c r="L42" s="11" t="s">
        <v>56</v>
      </c>
      <c r="M42" s="11" t="s">
        <v>122</v>
      </c>
      <c r="N42" s="14" t="s">
        <v>30</v>
      </c>
    </row>
    <row r="43" spans="1:14" x14ac:dyDescent="0.2">
      <c r="A43" s="10"/>
      <c r="B43" s="11" t="s">
        <v>12</v>
      </c>
      <c r="C43" s="11" t="s">
        <v>31</v>
      </c>
      <c r="D43" s="11">
        <v>10</v>
      </c>
      <c r="E43" s="7" t="s">
        <v>199</v>
      </c>
      <c r="F43" s="13">
        <v>43305</v>
      </c>
      <c r="G43" s="13" t="s">
        <v>121</v>
      </c>
      <c r="H43" s="11" t="s">
        <v>173</v>
      </c>
      <c r="I43" s="11" t="s">
        <v>24</v>
      </c>
      <c r="J43" s="11" t="s">
        <v>25</v>
      </c>
      <c r="K43" s="11">
        <v>11</v>
      </c>
      <c r="L43" s="11" t="s">
        <v>56</v>
      </c>
      <c r="M43" s="11" t="s">
        <v>122</v>
      </c>
      <c r="N43" s="14" t="s">
        <v>32</v>
      </c>
    </row>
    <row r="44" spans="1:14" x14ac:dyDescent="0.2">
      <c r="A44" s="10">
        <v>4701366891</v>
      </c>
      <c r="B44" s="11" t="s">
        <v>33</v>
      </c>
      <c r="C44" s="11" t="s">
        <v>36</v>
      </c>
      <c r="D44" s="11">
        <v>7</v>
      </c>
      <c r="E44" s="7" t="s">
        <v>199</v>
      </c>
      <c r="F44" s="13">
        <v>43305</v>
      </c>
      <c r="G44" s="13" t="s">
        <v>121</v>
      </c>
      <c r="H44" s="11" t="s">
        <v>173</v>
      </c>
      <c r="I44" s="11" t="s">
        <v>24</v>
      </c>
      <c r="J44" s="11" t="s">
        <v>25</v>
      </c>
      <c r="K44" s="11">
        <v>11</v>
      </c>
      <c r="L44" s="11" t="s">
        <v>56</v>
      </c>
      <c r="M44" s="11" t="s">
        <v>122</v>
      </c>
      <c r="N44" s="14" t="s">
        <v>37</v>
      </c>
    </row>
    <row r="45" spans="1:14" x14ac:dyDescent="0.2">
      <c r="A45" s="10"/>
      <c r="B45" s="11" t="s">
        <v>33</v>
      </c>
      <c r="C45" s="11" t="s">
        <v>53</v>
      </c>
      <c r="D45" s="11">
        <v>1</v>
      </c>
      <c r="E45" s="7" t="s">
        <v>199</v>
      </c>
      <c r="F45" s="13">
        <v>43305</v>
      </c>
      <c r="G45" s="13" t="s">
        <v>121</v>
      </c>
      <c r="H45" s="11" t="s">
        <v>173</v>
      </c>
      <c r="I45" s="11" t="s">
        <v>24</v>
      </c>
      <c r="J45" s="11" t="s">
        <v>25</v>
      </c>
      <c r="K45" s="11">
        <v>11</v>
      </c>
      <c r="L45" s="11" t="s">
        <v>56</v>
      </c>
      <c r="M45" s="11" t="s">
        <v>122</v>
      </c>
      <c r="N45" s="14" t="s">
        <v>54</v>
      </c>
    </row>
    <row r="46" spans="1:14" x14ac:dyDescent="0.2">
      <c r="A46" s="10">
        <v>4701366892</v>
      </c>
      <c r="B46" s="11" t="s">
        <v>12</v>
      </c>
      <c r="C46" s="11" t="s">
        <v>38</v>
      </c>
      <c r="D46" s="11">
        <v>12</v>
      </c>
      <c r="E46" s="7" t="s">
        <v>199</v>
      </c>
      <c r="F46" s="13">
        <v>43305</v>
      </c>
      <c r="G46" s="13" t="s">
        <v>121</v>
      </c>
      <c r="H46" s="11" t="s">
        <v>173</v>
      </c>
      <c r="I46" s="11" t="s">
        <v>16</v>
      </c>
      <c r="J46" s="11" t="s">
        <v>17</v>
      </c>
      <c r="K46" s="11">
        <v>11</v>
      </c>
      <c r="L46" s="11" t="s">
        <v>56</v>
      </c>
      <c r="M46" s="11" t="s">
        <v>122</v>
      </c>
      <c r="N46" s="14" t="s">
        <v>39</v>
      </c>
    </row>
    <row r="47" spans="1:14" x14ac:dyDescent="0.2">
      <c r="A47" s="10"/>
      <c r="B47" s="11" t="s">
        <v>12</v>
      </c>
      <c r="C47" s="11" t="s">
        <v>19</v>
      </c>
      <c r="D47" s="11">
        <v>320</v>
      </c>
      <c r="E47" s="7" t="s">
        <v>199</v>
      </c>
      <c r="F47" s="13">
        <v>43305</v>
      </c>
      <c r="G47" s="13" t="s">
        <v>121</v>
      </c>
      <c r="H47" s="11" t="s">
        <v>173</v>
      </c>
      <c r="I47" s="11" t="s">
        <v>16</v>
      </c>
      <c r="J47" s="11" t="s">
        <v>17</v>
      </c>
      <c r="K47" s="11">
        <v>11</v>
      </c>
      <c r="L47" s="11" t="s">
        <v>56</v>
      </c>
      <c r="M47" s="11" t="s">
        <v>122</v>
      </c>
      <c r="N47" s="14" t="s">
        <v>20</v>
      </c>
    </row>
    <row r="48" spans="1:14" x14ac:dyDescent="0.2">
      <c r="A48" s="10"/>
      <c r="B48" s="11" t="s">
        <v>12</v>
      </c>
      <c r="C48" s="11" t="s">
        <v>42</v>
      </c>
      <c r="D48" s="11">
        <v>60</v>
      </c>
      <c r="E48" s="7" t="s">
        <v>199</v>
      </c>
      <c r="F48" s="13">
        <v>43305</v>
      </c>
      <c r="G48" s="13" t="s">
        <v>121</v>
      </c>
      <c r="H48" s="11" t="s">
        <v>173</v>
      </c>
      <c r="I48" s="11" t="s">
        <v>16</v>
      </c>
      <c r="J48" s="11" t="s">
        <v>17</v>
      </c>
      <c r="K48" s="11">
        <v>11</v>
      </c>
      <c r="L48" s="11" t="s">
        <v>56</v>
      </c>
      <c r="M48" s="11" t="s">
        <v>122</v>
      </c>
      <c r="N48" s="14" t="s">
        <v>43</v>
      </c>
    </row>
    <row r="49" spans="1:14" x14ac:dyDescent="0.2">
      <c r="A49" s="10">
        <v>4701366896</v>
      </c>
      <c r="B49" s="11" t="s">
        <v>12</v>
      </c>
      <c r="C49" s="11" t="s">
        <v>47</v>
      </c>
      <c r="D49" s="11">
        <v>1</v>
      </c>
      <c r="E49" s="7" t="s">
        <v>199</v>
      </c>
      <c r="F49" s="13">
        <v>43305</v>
      </c>
      <c r="G49" s="13" t="s">
        <v>123</v>
      </c>
      <c r="H49" s="11" t="s">
        <v>124</v>
      </c>
      <c r="I49" s="11" t="s">
        <v>24</v>
      </c>
      <c r="J49" s="11" t="s">
        <v>25</v>
      </c>
      <c r="K49" s="11">
        <v>12</v>
      </c>
      <c r="L49" s="11" t="s">
        <v>196</v>
      </c>
      <c r="M49" s="11" t="s">
        <v>125</v>
      </c>
      <c r="N49" s="14" t="s">
        <v>48</v>
      </c>
    </row>
    <row r="50" spans="1:14" x14ac:dyDescent="0.2">
      <c r="A50" s="10"/>
      <c r="B50" s="11" t="s">
        <v>12</v>
      </c>
      <c r="C50" s="11" t="s">
        <v>29</v>
      </c>
      <c r="D50" s="11">
        <v>2</v>
      </c>
      <c r="E50" s="7" t="s">
        <v>199</v>
      </c>
      <c r="F50" s="13">
        <v>43305</v>
      </c>
      <c r="G50" s="13" t="s">
        <v>123</v>
      </c>
      <c r="H50" s="11" t="s">
        <v>124</v>
      </c>
      <c r="I50" s="11" t="s">
        <v>24</v>
      </c>
      <c r="J50" s="11" t="s">
        <v>25</v>
      </c>
      <c r="K50" s="11">
        <v>12</v>
      </c>
      <c r="L50" s="11" t="s">
        <v>196</v>
      </c>
      <c r="M50" s="11" t="s">
        <v>125</v>
      </c>
      <c r="N50" s="14" t="s">
        <v>30</v>
      </c>
    </row>
    <row r="51" spans="1:14" x14ac:dyDescent="0.2">
      <c r="A51" s="10"/>
      <c r="B51" s="11" t="s">
        <v>12</v>
      </c>
      <c r="C51" s="11" t="s">
        <v>49</v>
      </c>
      <c r="D51" s="11">
        <v>45</v>
      </c>
      <c r="E51" s="7" t="s">
        <v>199</v>
      </c>
      <c r="F51" s="13">
        <v>43305</v>
      </c>
      <c r="G51" s="13" t="s">
        <v>123</v>
      </c>
      <c r="H51" s="11" t="s">
        <v>124</v>
      </c>
      <c r="I51" s="11" t="s">
        <v>24</v>
      </c>
      <c r="J51" s="11" t="s">
        <v>25</v>
      </c>
      <c r="K51" s="11">
        <v>12</v>
      </c>
      <c r="L51" s="11" t="s">
        <v>196</v>
      </c>
      <c r="M51" s="11" t="s">
        <v>125</v>
      </c>
      <c r="N51" s="14" t="s">
        <v>50</v>
      </c>
    </row>
    <row r="52" spans="1:14" x14ac:dyDescent="0.2">
      <c r="A52" s="10">
        <v>4701366897</v>
      </c>
      <c r="B52" s="11" t="s">
        <v>33</v>
      </c>
      <c r="C52" s="11" t="s">
        <v>36</v>
      </c>
      <c r="D52" s="11">
        <v>4</v>
      </c>
      <c r="E52" s="7" t="s">
        <v>199</v>
      </c>
      <c r="F52" s="13">
        <v>43305</v>
      </c>
      <c r="G52" s="13" t="s">
        <v>123</v>
      </c>
      <c r="H52" s="11" t="s">
        <v>124</v>
      </c>
      <c r="I52" s="11" t="s">
        <v>24</v>
      </c>
      <c r="J52" s="11" t="s">
        <v>25</v>
      </c>
      <c r="K52" s="11">
        <v>12</v>
      </c>
      <c r="L52" s="11" t="s">
        <v>196</v>
      </c>
      <c r="M52" s="11" t="s">
        <v>125</v>
      </c>
      <c r="N52" s="14" t="s">
        <v>37</v>
      </c>
    </row>
    <row r="53" spans="1:14" x14ac:dyDescent="0.2">
      <c r="A53" s="10"/>
      <c r="B53" s="11" t="s">
        <v>33</v>
      </c>
      <c r="C53" s="11" t="s">
        <v>53</v>
      </c>
      <c r="D53" s="11">
        <v>1</v>
      </c>
      <c r="E53" s="7" t="s">
        <v>199</v>
      </c>
      <c r="F53" s="13">
        <v>43305</v>
      </c>
      <c r="G53" s="13" t="s">
        <v>123</v>
      </c>
      <c r="H53" s="11" t="s">
        <v>124</v>
      </c>
      <c r="I53" s="11" t="s">
        <v>24</v>
      </c>
      <c r="J53" s="11" t="s">
        <v>25</v>
      </c>
      <c r="K53" s="11">
        <v>12</v>
      </c>
      <c r="L53" s="11" t="s">
        <v>196</v>
      </c>
      <c r="M53" s="11" t="s">
        <v>125</v>
      </c>
      <c r="N53" s="14" t="s">
        <v>54</v>
      </c>
    </row>
    <row r="54" spans="1:14" x14ac:dyDescent="0.2">
      <c r="A54" s="10">
        <v>4701366898</v>
      </c>
      <c r="B54" s="11" t="s">
        <v>12</v>
      </c>
      <c r="C54" s="11" t="s">
        <v>44</v>
      </c>
      <c r="D54" s="11">
        <v>3</v>
      </c>
      <c r="E54" s="7" t="s">
        <v>199</v>
      </c>
      <c r="F54" s="13">
        <v>43305</v>
      </c>
      <c r="G54" s="13" t="s">
        <v>123</v>
      </c>
      <c r="H54" s="11" t="s">
        <v>124</v>
      </c>
      <c r="I54" s="11" t="s">
        <v>16</v>
      </c>
      <c r="J54" s="11" t="s">
        <v>17</v>
      </c>
      <c r="K54" s="11">
        <v>12</v>
      </c>
      <c r="L54" s="11" t="s">
        <v>196</v>
      </c>
      <c r="M54" s="11" t="s">
        <v>125</v>
      </c>
      <c r="N54" s="14" t="s">
        <v>45</v>
      </c>
    </row>
    <row r="55" spans="1:14" x14ac:dyDescent="0.2">
      <c r="A55" s="10"/>
      <c r="B55" s="11" t="s">
        <v>12</v>
      </c>
      <c r="C55" s="11" t="s">
        <v>13</v>
      </c>
      <c r="D55" s="11">
        <v>4</v>
      </c>
      <c r="E55" s="7" t="s">
        <v>199</v>
      </c>
      <c r="F55" s="13">
        <v>43305</v>
      </c>
      <c r="G55" s="13" t="s">
        <v>123</v>
      </c>
      <c r="H55" s="11" t="s">
        <v>124</v>
      </c>
      <c r="I55" s="11" t="s">
        <v>16</v>
      </c>
      <c r="J55" s="11" t="s">
        <v>17</v>
      </c>
      <c r="K55" s="11">
        <v>12</v>
      </c>
      <c r="L55" s="11" t="s">
        <v>196</v>
      </c>
      <c r="M55" s="11" t="s">
        <v>125</v>
      </c>
      <c r="N55" s="14" t="s">
        <v>18</v>
      </c>
    </row>
    <row r="56" spans="1:14" x14ac:dyDescent="0.2">
      <c r="A56" s="10"/>
      <c r="B56" s="11" t="s">
        <v>12</v>
      </c>
      <c r="C56" s="11" t="s">
        <v>38</v>
      </c>
      <c r="D56" s="11">
        <v>24</v>
      </c>
      <c r="E56" s="7" t="s">
        <v>199</v>
      </c>
      <c r="F56" s="13">
        <v>43305</v>
      </c>
      <c r="G56" s="13" t="s">
        <v>123</v>
      </c>
      <c r="H56" s="11" t="s">
        <v>124</v>
      </c>
      <c r="I56" s="11" t="s">
        <v>16</v>
      </c>
      <c r="J56" s="11" t="s">
        <v>17</v>
      </c>
      <c r="K56" s="11">
        <v>12</v>
      </c>
      <c r="L56" s="11" t="s">
        <v>196</v>
      </c>
      <c r="M56" s="11" t="s">
        <v>125</v>
      </c>
      <c r="N56" s="14" t="s">
        <v>39</v>
      </c>
    </row>
    <row r="57" spans="1:14" x14ac:dyDescent="0.2">
      <c r="A57" s="10"/>
      <c r="B57" s="11" t="s">
        <v>12</v>
      </c>
      <c r="C57" s="11" t="s">
        <v>19</v>
      </c>
      <c r="D57" s="11">
        <v>133</v>
      </c>
      <c r="E57" s="7" t="s">
        <v>199</v>
      </c>
      <c r="F57" s="13">
        <v>43305</v>
      </c>
      <c r="G57" s="13" t="s">
        <v>123</v>
      </c>
      <c r="H57" s="11" t="s">
        <v>124</v>
      </c>
      <c r="I57" s="11" t="s">
        <v>16</v>
      </c>
      <c r="J57" s="11" t="s">
        <v>17</v>
      </c>
      <c r="K57" s="11">
        <v>12</v>
      </c>
      <c r="L57" s="11" t="s">
        <v>196</v>
      </c>
      <c r="M57" s="11" t="s">
        <v>125</v>
      </c>
      <c r="N57" s="14" t="s">
        <v>20</v>
      </c>
    </row>
    <row r="58" spans="1:14" x14ac:dyDescent="0.2">
      <c r="A58" s="10"/>
      <c r="B58" s="11" t="s">
        <v>12</v>
      </c>
      <c r="C58" s="11" t="s">
        <v>57</v>
      </c>
      <c r="D58" s="11">
        <v>4</v>
      </c>
      <c r="E58" s="7" t="s">
        <v>199</v>
      </c>
      <c r="F58" s="13">
        <v>43305</v>
      </c>
      <c r="G58" s="13" t="s">
        <v>123</v>
      </c>
      <c r="H58" s="11" t="s">
        <v>124</v>
      </c>
      <c r="I58" s="11" t="s">
        <v>16</v>
      </c>
      <c r="J58" s="11" t="s">
        <v>17</v>
      </c>
      <c r="K58" s="11">
        <v>12</v>
      </c>
      <c r="L58" s="11" t="s">
        <v>196</v>
      </c>
      <c r="M58" s="11" t="s">
        <v>125</v>
      </c>
      <c r="N58" s="17" t="s">
        <v>58</v>
      </c>
    </row>
    <row r="59" spans="1:14" x14ac:dyDescent="0.2">
      <c r="A59" s="10"/>
      <c r="B59" s="11" t="s">
        <v>12</v>
      </c>
      <c r="C59" s="11" t="s">
        <v>42</v>
      </c>
      <c r="D59" s="11">
        <v>30</v>
      </c>
      <c r="E59" s="7" t="s">
        <v>199</v>
      </c>
      <c r="F59" s="13">
        <v>43305</v>
      </c>
      <c r="G59" s="13" t="s">
        <v>123</v>
      </c>
      <c r="H59" s="11" t="s">
        <v>124</v>
      </c>
      <c r="I59" s="11" t="s">
        <v>16</v>
      </c>
      <c r="J59" s="11" t="s">
        <v>17</v>
      </c>
      <c r="K59" s="11">
        <v>12</v>
      </c>
      <c r="L59" s="11" t="s">
        <v>196</v>
      </c>
      <c r="M59" s="11" t="s">
        <v>125</v>
      </c>
      <c r="N59" s="14" t="s">
        <v>43</v>
      </c>
    </row>
    <row r="60" spans="1:14" x14ac:dyDescent="0.2">
      <c r="A60" s="10">
        <v>4701366899</v>
      </c>
      <c r="B60" s="11" t="s">
        <v>12</v>
      </c>
      <c r="C60" s="11" t="s">
        <v>47</v>
      </c>
      <c r="D60" s="11">
        <v>1</v>
      </c>
      <c r="E60" s="7" t="s">
        <v>199</v>
      </c>
      <c r="F60" s="13">
        <v>43305</v>
      </c>
      <c r="G60" s="13" t="s">
        <v>126</v>
      </c>
      <c r="H60" s="11" t="s">
        <v>127</v>
      </c>
      <c r="I60" s="11" t="s">
        <v>24</v>
      </c>
      <c r="J60" s="11" t="s">
        <v>25</v>
      </c>
      <c r="K60" s="11">
        <v>12</v>
      </c>
      <c r="L60" s="11" t="s">
        <v>196</v>
      </c>
      <c r="M60" s="11" t="s">
        <v>125</v>
      </c>
      <c r="N60" s="18" t="s">
        <v>48</v>
      </c>
    </row>
    <row r="61" spans="1:14" x14ac:dyDescent="0.2">
      <c r="A61" s="10"/>
      <c r="B61" s="11" t="s">
        <v>12</v>
      </c>
      <c r="C61" s="11" t="s">
        <v>29</v>
      </c>
      <c r="D61" s="11">
        <v>3</v>
      </c>
      <c r="E61" s="7" t="s">
        <v>199</v>
      </c>
      <c r="F61" s="13">
        <v>43305</v>
      </c>
      <c r="G61" s="13" t="s">
        <v>126</v>
      </c>
      <c r="H61" s="11" t="s">
        <v>127</v>
      </c>
      <c r="I61" s="11" t="s">
        <v>24</v>
      </c>
      <c r="J61" s="11" t="s">
        <v>25</v>
      </c>
      <c r="K61" s="11">
        <v>12</v>
      </c>
      <c r="L61" s="11" t="s">
        <v>196</v>
      </c>
      <c r="M61" s="11" t="s">
        <v>125</v>
      </c>
      <c r="N61" s="14" t="s">
        <v>30</v>
      </c>
    </row>
    <row r="62" spans="1:14" x14ac:dyDescent="0.2">
      <c r="A62" s="10"/>
      <c r="B62" s="11" t="s">
        <v>12</v>
      </c>
      <c r="C62" s="11" t="s">
        <v>49</v>
      </c>
      <c r="D62" s="11">
        <v>59</v>
      </c>
      <c r="E62" s="7" t="s">
        <v>199</v>
      </c>
      <c r="F62" s="13">
        <v>43305</v>
      </c>
      <c r="G62" s="13" t="s">
        <v>126</v>
      </c>
      <c r="H62" s="11" t="s">
        <v>127</v>
      </c>
      <c r="I62" s="11" t="s">
        <v>24</v>
      </c>
      <c r="J62" s="11" t="s">
        <v>25</v>
      </c>
      <c r="K62" s="11">
        <v>12</v>
      </c>
      <c r="L62" s="11" t="s">
        <v>196</v>
      </c>
      <c r="M62" s="11" t="s">
        <v>125</v>
      </c>
      <c r="N62" s="14" t="s">
        <v>50</v>
      </c>
    </row>
    <row r="63" spans="1:14" x14ac:dyDescent="0.2">
      <c r="A63" s="10">
        <v>4701366900</v>
      </c>
      <c r="B63" s="11" t="s">
        <v>33</v>
      </c>
      <c r="C63" s="11" t="s">
        <v>36</v>
      </c>
      <c r="D63" s="11">
        <v>10</v>
      </c>
      <c r="E63" s="7" t="s">
        <v>199</v>
      </c>
      <c r="F63" s="13">
        <v>43305</v>
      </c>
      <c r="G63" s="13" t="s">
        <v>126</v>
      </c>
      <c r="H63" s="11" t="s">
        <v>127</v>
      </c>
      <c r="I63" s="11" t="s">
        <v>24</v>
      </c>
      <c r="J63" s="11" t="s">
        <v>25</v>
      </c>
      <c r="K63" s="11">
        <v>12</v>
      </c>
      <c r="L63" s="11" t="s">
        <v>196</v>
      </c>
      <c r="M63" s="11" t="s">
        <v>125</v>
      </c>
      <c r="N63" s="14" t="s">
        <v>37</v>
      </c>
    </row>
    <row r="64" spans="1:14" x14ac:dyDescent="0.2">
      <c r="A64" s="10">
        <v>4701366901</v>
      </c>
      <c r="B64" s="11" t="s">
        <v>12</v>
      </c>
      <c r="C64" s="11" t="s">
        <v>44</v>
      </c>
      <c r="D64" s="11">
        <v>6</v>
      </c>
      <c r="E64" s="7" t="s">
        <v>199</v>
      </c>
      <c r="F64" s="13">
        <v>43305</v>
      </c>
      <c r="G64" s="13" t="s">
        <v>126</v>
      </c>
      <c r="H64" s="11" t="s">
        <v>127</v>
      </c>
      <c r="I64" s="11" t="s">
        <v>16</v>
      </c>
      <c r="J64" s="11" t="s">
        <v>17</v>
      </c>
      <c r="K64" s="11">
        <v>12</v>
      </c>
      <c r="L64" s="11" t="s">
        <v>196</v>
      </c>
      <c r="M64" s="11" t="s">
        <v>125</v>
      </c>
      <c r="N64" s="14" t="s">
        <v>45</v>
      </c>
    </row>
    <row r="65" spans="1:14" x14ac:dyDescent="0.2">
      <c r="A65" s="10"/>
      <c r="B65" s="11" t="s">
        <v>12</v>
      </c>
      <c r="C65" s="11" t="s">
        <v>13</v>
      </c>
      <c r="D65" s="11">
        <v>5</v>
      </c>
      <c r="E65" s="7" t="s">
        <v>199</v>
      </c>
      <c r="F65" s="13">
        <v>43305</v>
      </c>
      <c r="G65" s="13" t="s">
        <v>126</v>
      </c>
      <c r="H65" s="11" t="s">
        <v>127</v>
      </c>
      <c r="I65" s="11" t="s">
        <v>16</v>
      </c>
      <c r="J65" s="11" t="s">
        <v>17</v>
      </c>
      <c r="K65" s="11">
        <v>12</v>
      </c>
      <c r="L65" s="11" t="s">
        <v>196</v>
      </c>
      <c r="M65" s="11" t="s">
        <v>125</v>
      </c>
      <c r="N65" s="14" t="s">
        <v>18</v>
      </c>
    </row>
    <row r="66" spans="1:14" x14ac:dyDescent="0.2">
      <c r="A66" s="10"/>
      <c r="B66" s="11" t="s">
        <v>12</v>
      </c>
      <c r="C66" s="11" t="s">
        <v>38</v>
      </c>
      <c r="D66" s="11">
        <v>24</v>
      </c>
      <c r="E66" s="7" t="s">
        <v>199</v>
      </c>
      <c r="F66" s="13">
        <v>43305</v>
      </c>
      <c r="G66" s="13" t="s">
        <v>126</v>
      </c>
      <c r="H66" s="11" t="s">
        <v>127</v>
      </c>
      <c r="I66" s="11" t="s">
        <v>16</v>
      </c>
      <c r="J66" s="11" t="s">
        <v>17</v>
      </c>
      <c r="K66" s="11">
        <v>12</v>
      </c>
      <c r="L66" s="11" t="s">
        <v>196</v>
      </c>
      <c r="M66" s="11" t="s">
        <v>125</v>
      </c>
      <c r="N66" s="14" t="s">
        <v>39</v>
      </c>
    </row>
    <row r="67" spans="1:14" x14ac:dyDescent="0.2">
      <c r="A67" s="10"/>
      <c r="B67" s="11" t="s">
        <v>12</v>
      </c>
      <c r="C67" s="11" t="s">
        <v>19</v>
      </c>
      <c r="D67" s="11">
        <v>30</v>
      </c>
      <c r="E67" s="7" t="s">
        <v>199</v>
      </c>
      <c r="F67" s="13">
        <v>43305</v>
      </c>
      <c r="G67" s="13" t="s">
        <v>126</v>
      </c>
      <c r="H67" s="11" t="s">
        <v>127</v>
      </c>
      <c r="I67" s="11" t="s">
        <v>16</v>
      </c>
      <c r="J67" s="11" t="s">
        <v>17</v>
      </c>
      <c r="K67" s="11">
        <v>12</v>
      </c>
      <c r="L67" s="11" t="s">
        <v>196</v>
      </c>
      <c r="M67" s="11" t="s">
        <v>125</v>
      </c>
      <c r="N67" s="14" t="s">
        <v>20</v>
      </c>
    </row>
    <row r="68" spans="1:14" x14ac:dyDescent="0.2">
      <c r="A68" s="10"/>
      <c r="B68" s="11" t="s">
        <v>12</v>
      </c>
      <c r="C68" s="11" t="s">
        <v>40</v>
      </c>
      <c r="D68" s="11">
        <v>14</v>
      </c>
      <c r="E68" s="7" t="s">
        <v>199</v>
      </c>
      <c r="F68" s="13">
        <v>43305</v>
      </c>
      <c r="G68" s="13" t="s">
        <v>126</v>
      </c>
      <c r="H68" s="11" t="s">
        <v>127</v>
      </c>
      <c r="I68" s="11" t="s">
        <v>16</v>
      </c>
      <c r="J68" s="11" t="s">
        <v>17</v>
      </c>
      <c r="K68" s="11">
        <v>12</v>
      </c>
      <c r="L68" s="11" t="s">
        <v>196</v>
      </c>
      <c r="M68" s="11" t="s">
        <v>125</v>
      </c>
      <c r="N68" s="14" t="s">
        <v>41</v>
      </c>
    </row>
    <row r="69" spans="1:14" x14ac:dyDescent="0.2">
      <c r="A69" s="10"/>
      <c r="B69" s="11" t="s">
        <v>12</v>
      </c>
      <c r="C69" s="11" t="s">
        <v>80</v>
      </c>
      <c r="D69" s="11">
        <v>2</v>
      </c>
      <c r="E69" s="7" t="s">
        <v>199</v>
      </c>
      <c r="F69" s="13">
        <v>43305</v>
      </c>
      <c r="G69" s="13" t="s">
        <v>126</v>
      </c>
      <c r="H69" s="11" t="s">
        <v>127</v>
      </c>
      <c r="I69" s="11" t="s">
        <v>16</v>
      </c>
      <c r="J69" s="11" t="s">
        <v>17</v>
      </c>
      <c r="K69" s="11">
        <v>12</v>
      </c>
      <c r="L69" s="11" t="s">
        <v>196</v>
      </c>
      <c r="M69" s="11" t="s">
        <v>125</v>
      </c>
      <c r="N69" s="14" t="s">
        <v>82</v>
      </c>
    </row>
    <row r="70" spans="1:14" x14ac:dyDescent="0.2">
      <c r="A70" s="10">
        <v>4701366905</v>
      </c>
      <c r="B70" s="11" t="s">
        <v>12</v>
      </c>
      <c r="C70" s="11" t="s">
        <v>49</v>
      </c>
      <c r="D70" s="11">
        <v>22</v>
      </c>
      <c r="E70" s="7" t="s">
        <v>199</v>
      </c>
      <c r="F70" s="13">
        <v>43305</v>
      </c>
      <c r="G70" s="13" t="s">
        <v>129</v>
      </c>
      <c r="H70" s="11" t="s">
        <v>130</v>
      </c>
      <c r="I70" s="11" t="s">
        <v>24</v>
      </c>
      <c r="J70" s="11" t="s">
        <v>25</v>
      </c>
      <c r="K70" s="11">
        <v>13</v>
      </c>
      <c r="L70" s="11" t="s">
        <v>196</v>
      </c>
      <c r="M70" s="11" t="s">
        <v>128</v>
      </c>
      <c r="N70" s="14" t="s">
        <v>50</v>
      </c>
    </row>
    <row r="71" spans="1:14" x14ac:dyDescent="0.2">
      <c r="A71" s="10">
        <v>4701366906</v>
      </c>
      <c r="B71" s="11" t="s">
        <v>33</v>
      </c>
      <c r="C71" s="11" t="s">
        <v>53</v>
      </c>
      <c r="D71" s="11">
        <v>2</v>
      </c>
      <c r="E71" s="7" t="s">
        <v>199</v>
      </c>
      <c r="F71" s="13">
        <v>43305</v>
      </c>
      <c r="G71" s="13" t="s">
        <v>129</v>
      </c>
      <c r="H71" s="11" t="s">
        <v>130</v>
      </c>
      <c r="I71" s="11" t="s">
        <v>24</v>
      </c>
      <c r="J71" s="11" t="s">
        <v>25</v>
      </c>
      <c r="K71" s="11">
        <v>13</v>
      </c>
      <c r="L71" s="11" t="s">
        <v>196</v>
      </c>
      <c r="M71" s="11" t="s">
        <v>128</v>
      </c>
      <c r="N71" s="14" t="s">
        <v>54</v>
      </c>
    </row>
    <row r="72" spans="1:14" x14ac:dyDescent="0.2">
      <c r="A72" s="10">
        <v>4701366907</v>
      </c>
      <c r="B72" s="11" t="s">
        <v>12</v>
      </c>
      <c r="C72" s="11" t="s">
        <v>44</v>
      </c>
      <c r="D72" s="11">
        <v>4</v>
      </c>
      <c r="E72" s="7" t="s">
        <v>199</v>
      </c>
      <c r="F72" s="13">
        <v>43305</v>
      </c>
      <c r="G72" s="13" t="s">
        <v>129</v>
      </c>
      <c r="H72" s="11" t="s">
        <v>130</v>
      </c>
      <c r="I72" s="11" t="s">
        <v>16</v>
      </c>
      <c r="J72" s="11" t="s">
        <v>17</v>
      </c>
      <c r="K72" s="11">
        <v>13</v>
      </c>
      <c r="L72" s="11" t="s">
        <v>196</v>
      </c>
      <c r="M72" s="11" t="s">
        <v>128</v>
      </c>
      <c r="N72" s="14" t="s">
        <v>45</v>
      </c>
    </row>
    <row r="73" spans="1:14" x14ac:dyDescent="0.2">
      <c r="A73" s="10"/>
      <c r="B73" s="11" t="s">
        <v>12</v>
      </c>
      <c r="C73" s="11" t="s">
        <v>13</v>
      </c>
      <c r="D73" s="11">
        <v>1</v>
      </c>
      <c r="E73" s="7" t="s">
        <v>199</v>
      </c>
      <c r="F73" s="13">
        <v>43305</v>
      </c>
      <c r="G73" s="13" t="s">
        <v>129</v>
      </c>
      <c r="H73" s="11" t="s">
        <v>130</v>
      </c>
      <c r="I73" s="11" t="s">
        <v>16</v>
      </c>
      <c r="J73" s="11" t="s">
        <v>17</v>
      </c>
      <c r="K73" s="11">
        <v>13</v>
      </c>
      <c r="L73" s="11" t="s">
        <v>196</v>
      </c>
      <c r="M73" s="11" t="s">
        <v>128</v>
      </c>
      <c r="N73" s="14" t="s">
        <v>18</v>
      </c>
    </row>
    <row r="74" spans="1:14" x14ac:dyDescent="0.2">
      <c r="A74" s="10"/>
      <c r="B74" s="11" t="s">
        <v>12</v>
      </c>
      <c r="C74" s="11" t="s">
        <v>38</v>
      </c>
      <c r="D74" s="11">
        <v>17</v>
      </c>
      <c r="E74" s="7" t="s">
        <v>199</v>
      </c>
      <c r="F74" s="13">
        <v>43305</v>
      </c>
      <c r="G74" s="13" t="s">
        <v>129</v>
      </c>
      <c r="H74" s="11" t="s">
        <v>130</v>
      </c>
      <c r="I74" s="11" t="s">
        <v>16</v>
      </c>
      <c r="J74" s="11" t="s">
        <v>17</v>
      </c>
      <c r="K74" s="11">
        <v>13</v>
      </c>
      <c r="L74" s="11" t="s">
        <v>196</v>
      </c>
      <c r="M74" s="11" t="s">
        <v>128</v>
      </c>
      <c r="N74" s="14" t="s">
        <v>39</v>
      </c>
    </row>
    <row r="75" spans="1:14" x14ac:dyDescent="0.2">
      <c r="A75" s="10"/>
      <c r="B75" s="11" t="s">
        <v>12</v>
      </c>
      <c r="C75" s="11" t="s">
        <v>19</v>
      </c>
      <c r="D75" s="11">
        <v>200</v>
      </c>
      <c r="E75" s="7" t="s">
        <v>199</v>
      </c>
      <c r="F75" s="13">
        <v>43305</v>
      </c>
      <c r="G75" s="13" t="s">
        <v>129</v>
      </c>
      <c r="H75" s="11" t="s">
        <v>130</v>
      </c>
      <c r="I75" s="11" t="s">
        <v>16</v>
      </c>
      <c r="J75" s="11" t="s">
        <v>17</v>
      </c>
      <c r="K75" s="11">
        <v>13</v>
      </c>
      <c r="L75" s="11" t="s">
        <v>196</v>
      </c>
      <c r="M75" s="11" t="s">
        <v>128</v>
      </c>
      <c r="N75" s="14" t="s">
        <v>20</v>
      </c>
    </row>
    <row r="76" spans="1:14" x14ac:dyDescent="0.2">
      <c r="A76" s="10"/>
      <c r="B76" s="11" t="s">
        <v>12</v>
      </c>
      <c r="C76" s="11" t="s">
        <v>57</v>
      </c>
      <c r="D76" s="11">
        <v>2</v>
      </c>
      <c r="E76" s="7" t="s">
        <v>199</v>
      </c>
      <c r="F76" s="13">
        <v>43305</v>
      </c>
      <c r="G76" s="13" t="s">
        <v>129</v>
      </c>
      <c r="H76" s="11" t="s">
        <v>130</v>
      </c>
      <c r="I76" s="11" t="s">
        <v>16</v>
      </c>
      <c r="J76" s="11" t="s">
        <v>17</v>
      </c>
      <c r="K76" s="11">
        <v>13</v>
      </c>
      <c r="L76" s="11" t="s">
        <v>196</v>
      </c>
      <c r="M76" s="11" t="s">
        <v>128</v>
      </c>
      <c r="N76" s="14" t="s">
        <v>58</v>
      </c>
    </row>
    <row r="77" spans="1:14" x14ac:dyDescent="0.2">
      <c r="A77" s="10">
        <v>4701366908</v>
      </c>
      <c r="B77" s="11" t="s">
        <v>12</v>
      </c>
      <c r="C77" s="11" t="s">
        <v>78</v>
      </c>
      <c r="D77" s="11">
        <v>775</v>
      </c>
      <c r="E77" s="7" t="s">
        <v>199</v>
      </c>
      <c r="F77" s="13">
        <v>43305</v>
      </c>
      <c r="G77" s="13" t="s">
        <v>75</v>
      </c>
      <c r="H77" s="11" t="s">
        <v>160</v>
      </c>
      <c r="I77" s="11" t="s">
        <v>16</v>
      </c>
      <c r="J77" s="11" t="s">
        <v>17</v>
      </c>
      <c r="K77" s="11">
        <v>14</v>
      </c>
      <c r="L77" s="11" t="s">
        <v>56</v>
      </c>
      <c r="M77" s="11"/>
      <c r="N77" s="14" t="s">
        <v>79</v>
      </c>
    </row>
    <row r="78" spans="1:14" x14ac:dyDescent="0.2">
      <c r="A78" s="10">
        <v>4701366909</v>
      </c>
      <c r="B78" s="11" t="s">
        <v>12</v>
      </c>
      <c r="C78" s="11" t="s">
        <v>78</v>
      </c>
      <c r="D78" s="11">
        <v>540</v>
      </c>
      <c r="E78" s="7" t="s">
        <v>199</v>
      </c>
      <c r="F78" s="13">
        <v>43305</v>
      </c>
      <c r="G78" s="13" t="s">
        <v>83</v>
      </c>
      <c r="H78" s="11" t="s">
        <v>84</v>
      </c>
      <c r="I78" s="11" t="s">
        <v>16</v>
      </c>
      <c r="J78" s="11" t="s">
        <v>17</v>
      </c>
      <c r="K78" s="11">
        <v>15</v>
      </c>
      <c r="L78" s="11" t="s">
        <v>196</v>
      </c>
      <c r="M78" s="11"/>
      <c r="N78" s="14" t="s">
        <v>79</v>
      </c>
    </row>
    <row r="79" spans="1:14" x14ac:dyDescent="0.2">
      <c r="A79" s="10">
        <v>4701366910</v>
      </c>
      <c r="B79" s="11" t="s">
        <v>12</v>
      </c>
      <c r="C79" s="11" t="s">
        <v>27</v>
      </c>
      <c r="D79" s="11">
        <v>90</v>
      </c>
      <c r="E79" s="7" t="s">
        <v>199</v>
      </c>
      <c r="F79" s="13">
        <v>43305</v>
      </c>
      <c r="G79" s="13" t="s">
        <v>151</v>
      </c>
      <c r="H79" s="11" t="s">
        <v>164</v>
      </c>
      <c r="I79" s="11" t="s">
        <v>24</v>
      </c>
      <c r="J79" s="11" t="s">
        <v>25</v>
      </c>
      <c r="K79" s="11">
        <v>16</v>
      </c>
      <c r="L79" s="11" t="s">
        <v>196</v>
      </c>
      <c r="M79" s="11"/>
      <c r="N79" s="14" t="s">
        <v>28</v>
      </c>
    </row>
    <row r="80" spans="1:14" x14ac:dyDescent="0.2">
      <c r="A80" s="10"/>
      <c r="B80" s="11" t="s">
        <v>92</v>
      </c>
      <c r="C80" s="11" t="s">
        <v>93</v>
      </c>
      <c r="D80" s="11">
        <v>5</v>
      </c>
      <c r="E80" s="7" t="s">
        <v>199</v>
      </c>
      <c r="F80" s="13">
        <v>43305</v>
      </c>
      <c r="G80" s="13" t="s">
        <v>151</v>
      </c>
      <c r="H80" s="11" t="s">
        <v>164</v>
      </c>
      <c r="I80" s="11" t="s">
        <v>24</v>
      </c>
      <c r="J80" s="11" t="s">
        <v>25</v>
      </c>
      <c r="K80" s="11">
        <v>16</v>
      </c>
      <c r="L80" s="11" t="s">
        <v>196</v>
      </c>
      <c r="M80" s="11"/>
      <c r="N80" s="14" t="s">
        <v>95</v>
      </c>
    </row>
    <row r="81" spans="1:14" x14ac:dyDescent="0.2">
      <c r="A81" s="10"/>
      <c r="B81" s="11" t="s">
        <v>12</v>
      </c>
      <c r="C81" s="11" t="s">
        <v>49</v>
      </c>
      <c r="D81" s="11">
        <v>86</v>
      </c>
      <c r="E81" s="7" t="s">
        <v>199</v>
      </c>
      <c r="F81" s="13">
        <v>43305</v>
      </c>
      <c r="G81" s="13" t="s">
        <v>151</v>
      </c>
      <c r="H81" s="11" t="s">
        <v>164</v>
      </c>
      <c r="I81" s="11" t="s">
        <v>24</v>
      </c>
      <c r="J81" s="11" t="s">
        <v>25</v>
      </c>
      <c r="K81" s="11">
        <v>16</v>
      </c>
      <c r="L81" s="11" t="s">
        <v>196</v>
      </c>
      <c r="M81" s="11"/>
      <c r="N81" s="14" t="s">
        <v>50</v>
      </c>
    </row>
    <row r="82" spans="1:14" x14ac:dyDescent="0.2">
      <c r="A82" s="10">
        <v>4701366911</v>
      </c>
      <c r="B82" s="11" t="s">
        <v>12</v>
      </c>
      <c r="C82" s="11" t="s">
        <v>78</v>
      </c>
      <c r="D82" s="11">
        <v>167</v>
      </c>
      <c r="E82" s="7" t="s">
        <v>199</v>
      </c>
      <c r="F82" s="13">
        <v>43305</v>
      </c>
      <c r="G82" s="13" t="s">
        <v>151</v>
      </c>
      <c r="H82" s="11" t="s">
        <v>164</v>
      </c>
      <c r="I82" s="11" t="s">
        <v>16</v>
      </c>
      <c r="J82" s="11" t="s">
        <v>17</v>
      </c>
      <c r="K82" s="11">
        <v>16</v>
      </c>
      <c r="L82" s="11" t="s">
        <v>196</v>
      </c>
      <c r="M82" s="11"/>
      <c r="N82" s="14" t="s">
        <v>79</v>
      </c>
    </row>
    <row r="83" spans="1:14" x14ac:dyDescent="0.2">
      <c r="A83" s="10">
        <v>4701366912</v>
      </c>
      <c r="B83" s="11" t="s">
        <v>12</v>
      </c>
      <c r="C83" s="11" t="s">
        <v>44</v>
      </c>
      <c r="D83" s="11">
        <v>15</v>
      </c>
      <c r="E83" s="7" t="s">
        <v>199</v>
      </c>
      <c r="F83" s="13">
        <v>43305</v>
      </c>
      <c r="G83" s="13" t="s">
        <v>131</v>
      </c>
      <c r="H83" s="11" t="s">
        <v>165</v>
      </c>
      <c r="I83" s="11" t="s">
        <v>16</v>
      </c>
      <c r="J83" s="11" t="s">
        <v>17</v>
      </c>
      <c r="K83" s="11">
        <v>17</v>
      </c>
      <c r="L83" s="11" t="s">
        <v>196</v>
      </c>
      <c r="M83" s="11"/>
      <c r="N83" s="14" t="s">
        <v>45</v>
      </c>
    </row>
    <row r="84" spans="1:14" x14ac:dyDescent="0.2">
      <c r="A84" s="10"/>
      <c r="B84" s="11" t="s">
        <v>12</v>
      </c>
      <c r="C84" s="11" t="s">
        <v>38</v>
      </c>
      <c r="D84" s="11">
        <v>12</v>
      </c>
      <c r="E84" s="7" t="s">
        <v>199</v>
      </c>
      <c r="F84" s="13">
        <v>43305</v>
      </c>
      <c r="G84" s="13" t="s">
        <v>131</v>
      </c>
      <c r="H84" s="11" t="s">
        <v>165</v>
      </c>
      <c r="I84" s="11" t="s">
        <v>16</v>
      </c>
      <c r="J84" s="11" t="s">
        <v>17</v>
      </c>
      <c r="K84" s="11">
        <v>17</v>
      </c>
      <c r="L84" s="11" t="s">
        <v>196</v>
      </c>
      <c r="M84" s="11"/>
      <c r="N84" s="14" t="s">
        <v>39</v>
      </c>
    </row>
    <row r="85" spans="1:14" x14ac:dyDescent="0.2">
      <c r="A85" s="10"/>
      <c r="B85" s="11" t="s">
        <v>12</v>
      </c>
      <c r="C85" s="11" t="s">
        <v>65</v>
      </c>
      <c r="D85" s="11">
        <v>32</v>
      </c>
      <c r="E85" s="7" t="s">
        <v>199</v>
      </c>
      <c r="F85" s="13">
        <v>43305</v>
      </c>
      <c r="G85" s="13" t="s">
        <v>131</v>
      </c>
      <c r="H85" s="11" t="s">
        <v>165</v>
      </c>
      <c r="I85" s="11" t="s">
        <v>16</v>
      </c>
      <c r="J85" s="11" t="s">
        <v>17</v>
      </c>
      <c r="K85" s="11">
        <v>17</v>
      </c>
      <c r="L85" s="11" t="s">
        <v>196</v>
      </c>
      <c r="M85" s="11"/>
      <c r="N85" s="14" t="s">
        <v>66</v>
      </c>
    </row>
    <row r="86" spans="1:14" x14ac:dyDescent="0.2">
      <c r="A86" s="10"/>
      <c r="B86" s="11" t="s">
        <v>12</v>
      </c>
      <c r="C86" s="11" t="s">
        <v>40</v>
      </c>
      <c r="D86" s="11">
        <v>7</v>
      </c>
      <c r="E86" s="7" t="s">
        <v>199</v>
      </c>
      <c r="F86" s="13">
        <v>43305</v>
      </c>
      <c r="G86" s="13" t="s">
        <v>131</v>
      </c>
      <c r="H86" s="11" t="s">
        <v>165</v>
      </c>
      <c r="I86" s="11" t="s">
        <v>16</v>
      </c>
      <c r="J86" s="11" t="s">
        <v>17</v>
      </c>
      <c r="K86" s="11">
        <v>17</v>
      </c>
      <c r="L86" s="11" t="s">
        <v>196</v>
      </c>
      <c r="M86" s="11"/>
      <c r="N86" s="14" t="s">
        <v>41</v>
      </c>
    </row>
    <row r="87" spans="1:14" x14ac:dyDescent="0.2">
      <c r="A87" s="10"/>
      <c r="B87" s="11" t="s">
        <v>12</v>
      </c>
      <c r="C87" s="11" t="s">
        <v>57</v>
      </c>
      <c r="D87" s="11">
        <v>16</v>
      </c>
      <c r="E87" s="7" t="s">
        <v>199</v>
      </c>
      <c r="F87" s="13">
        <v>43305</v>
      </c>
      <c r="G87" s="13" t="s">
        <v>131</v>
      </c>
      <c r="H87" s="11" t="s">
        <v>165</v>
      </c>
      <c r="I87" s="11" t="s">
        <v>16</v>
      </c>
      <c r="J87" s="11" t="s">
        <v>17</v>
      </c>
      <c r="K87" s="11">
        <v>17</v>
      </c>
      <c r="L87" s="11" t="s">
        <v>196</v>
      </c>
      <c r="M87" s="11"/>
      <c r="N87" s="14" t="s">
        <v>58</v>
      </c>
    </row>
    <row r="88" spans="1:14" x14ac:dyDescent="0.2">
      <c r="A88" s="10"/>
      <c r="B88" s="11" t="s">
        <v>12</v>
      </c>
      <c r="C88" s="11" t="s">
        <v>76</v>
      </c>
      <c r="D88" s="11">
        <v>45</v>
      </c>
      <c r="E88" s="7" t="s">
        <v>199</v>
      </c>
      <c r="F88" s="13">
        <v>43305</v>
      </c>
      <c r="G88" s="13" t="s">
        <v>131</v>
      </c>
      <c r="H88" s="11" t="s">
        <v>165</v>
      </c>
      <c r="I88" s="11" t="s">
        <v>16</v>
      </c>
      <c r="J88" s="11" t="s">
        <v>17</v>
      </c>
      <c r="K88" s="11">
        <v>17</v>
      </c>
      <c r="L88" s="11" t="s">
        <v>196</v>
      </c>
      <c r="M88" s="11"/>
      <c r="N88" s="14" t="s">
        <v>77</v>
      </c>
    </row>
    <row r="89" spans="1:14" x14ac:dyDescent="0.2">
      <c r="A89" s="10"/>
      <c r="B89" s="11" t="s">
        <v>12</v>
      </c>
      <c r="C89" s="11" t="s">
        <v>78</v>
      </c>
      <c r="D89" s="11">
        <v>359</v>
      </c>
      <c r="E89" s="7" t="s">
        <v>199</v>
      </c>
      <c r="F89" s="13">
        <v>43305</v>
      </c>
      <c r="G89" s="13" t="s">
        <v>131</v>
      </c>
      <c r="H89" s="11" t="s">
        <v>165</v>
      </c>
      <c r="I89" s="11" t="s">
        <v>16</v>
      </c>
      <c r="J89" s="11" t="s">
        <v>17</v>
      </c>
      <c r="K89" s="11">
        <v>17</v>
      </c>
      <c r="L89" s="11" t="s">
        <v>196</v>
      </c>
      <c r="M89" s="11"/>
      <c r="N89" s="14" t="s">
        <v>79</v>
      </c>
    </row>
    <row r="90" spans="1:14" x14ac:dyDescent="0.2">
      <c r="A90" s="10">
        <v>4701366913</v>
      </c>
      <c r="B90" s="11" t="s">
        <v>12</v>
      </c>
      <c r="C90" s="11" t="s">
        <v>57</v>
      </c>
      <c r="D90" s="11">
        <v>4</v>
      </c>
      <c r="E90" s="7" t="s">
        <v>199</v>
      </c>
      <c r="F90" s="13">
        <v>43305</v>
      </c>
      <c r="G90" s="13" t="s">
        <v>89</v>
      </c>
      <c r="H90" s="11" t="s">
        <v>90</v>
      </c>
      <c r="I90" s="11" t="s">
        <v>16</v>
      </c>
      <c r="J90" s="11" t="s">
        <v>17</v>
      </c>
      <c r="K90" s="11">
        <v>18</v>
      </c>
      <c r="L90" s="11" t="s">
        <v>198</v>
      </c>
      <c r="M90" s="11"/>
      <c r="N90" s="14" t="s">
        <v>58</v>
      </c>
    </row>
    <row r="91" spans="1:14" x14ac:dyDescent="0.2">
      <c r="A91" s="10"/>
      <c r="B91" s="11" t="s">
        <v>12</v>
      </c>
      <c r="C91" s="11" t="s">
        <v>42</v>
      </c>
      <c r="D91" s="11">
        <v>65</v>
      </c>
      <c r="E91" s="7" t="s">
        <v>199</v>
      </c>
      <c r="F91" s="13">
        <v>43305</v>
      </c>
      <c r="G91" s="13" t="s">
        <v>89</v>
      </c>
      <c r="H91" s="11" t="s">
        <v>90</v>
      </c>
      <c r="I91" s="11" t="s">
        <v>16</v>
      </c>
      <c r="J91" s="11" t="s">
        <v>17</v>
      </c>
      <c r="K91" s="11">
        <v>18</v>
      </c>
      <c r="L91" s="11" t="s">
        <v>198</v>
      </c>
      <c r="M91" s="11"/>
      <c r="N91" s="14" t="s">
        <v>43</v>
      </c>
    </row>
    <row r="92" spans="1:14" x14ac:dyDescent="0.2">
      <c r="A92" s="10"/>
      <c r="B92" s="11" t="s">
        <v>12</v>
      </c>
      <c r="C92" s="11" t="s">
        <v>78</v>
      </c>
      <c r="D92" s="11">
        <v>156</v>
      </c>
      <c r="E92" s="7" t="s">
        <v>199</v>
      </c>
      <c r="F92" s="13">
        <v>43305</v>
      </c>
      <c r="G92" s="13" t="s">
        <v>89</v>
      </c>
      <c r="H92" s="11" t="s">
        <v>90</v>
      </c>
      <c r="I92" s="11" t="s">
        <v>16</v>
      </c>
      <c r="J92" s="11" t="s">
        <v>17</v>
      </c>
      <c r="K92" s="11">
        <v>18</v>
      </c>
      <c r="L92" s="11" t="s">
        <v>198</v>
      </c>
      <c r="M92" s="11"/>
      <c r="N92" s="14" t="s">
        <v>79</v>
      </c>
    </row>
    <row r="93" spans="1:14" x14ac:dyDescent="0.2">
      <c r="A93" s="10">
        <v>4701366914</v>
      </c>
      <c r="B93" s="11" t="s">
        <v>12</v>
      </c>
      <c r="C93" s="11" t="s">
        <v>13</v>
      </c>
      <c r="D93" s="11">
        <v>55</v>
      </c>
      <c r="E93" s="7" t="s">
        <v>199</v>
      </c>
      <c r="F93" s="13">
        <v>43305</v>
      </c>
      <c r="G93" s="13" t="s">
        <v>24</v>
      </c>
      <c r="H93" s="11" t="s">
        <v>25</v>
      </c>
      <c r="I93" s="11" t="s">
        <v>16</v>
      </c>
      <c r="J93" s="11" t="s">
        <v>17</v>
      </c>
      <c r="K93" s="11">
        <v>19</v>
      </c>
      <c r="L93" s="11" t="s">
        <v>196</v>
      </c>
      <c r="M93" s="11"/>
      <c r="N93" s="14" t="s">
        <v>18</v>
      </c>
    </row>
    <row r="94" spans="1:14" x14ac:dyDescent="0.2">
      <c r="A94" s="10"/>
      <c r="B94" s="11" t="s">
        <v>12</v>
      </c>
      <c r="C94" s="11" t="s">
        <v>65</v>
      </c>
      <c r="D94" s="11">
        <v>53</v>
      </c>
      <c r="E94" s="7" t="s">
        <v>199</v>
      </c>
      <c r="F94" s="13">
        <v>43305</v>
      </c>
      <c r="G94" s="13" t="s">
        <v>24</v>
      </c>
      <c r="H94" s="11" t="s">
        <v>25</v>
      </c>
      <c r="I94" s="11" t="s">
        <v>16</v>
      </c>
      <c r="J94" s="11" t="s">
        <v>17</v>
      </c>
      <c r="K94" s="11">
        <v>19</v>
      </c>
      <c r="L94" s="11" t="s">
        <v>196</v>
      </c>
      <c r="M94" s="11"/>
      <c r="N94" s="14" t="s">
        <v>66</v>
      </c>
    </row>
    <row r="95" spans="1:14" x14ac:dyDescent="0.2">
      <c r="A95" s="10"/>
      <c r="B95" s="11" t="s">
        <v>12</v>
      </c>
      <c r="C95" s="11" t="s">
        <v>40</v>
      </c>
      <c r="D95" s="11">
        <v>4</v>
      </c>
      <c r="E95" s="7" t="s">
        <v>199</v>
      </c>
      <c r="F95" s="13">
        <v>43305</v>
      </c>
      <c r="G95" s="13" t="s">
        <v>24</v>
      </c>
      <c r="H95" s="11" t="s">
        <v>25</v>
      </c>
      <c r="I95" s="11" t="s">
        <v>16</v>
      </c>
      <c r="J95" s="11" t="s">
        <v>17</v>
      </c>
      <c r="K95" s="11">
        <v>19</v>
      </c>
      <c r="L95" s="11" t="s">
        <v>196</v>
      </c>
      <c r="M95" s="11"/>
      <c r="N95" s="14" t="s">
        <v>41</v>
      </c>
    </row>
    <row r="96" spans="1:14" x14ac:dyDescent="0.2">
      <c r="A96" s="10"/>
      <c r="B96" s="11" t="s">
        <v>12</v>
      </c>
      <c r="C96" s="11" t="s">
        <v>78</v>
      </c>
      <c r="D96" s="11">
        <v>390</v>
      </c>
      <c r="E96" s="7" t="s">
        <v>199</v>
      </c>
      <c r="F96" s="13">
        <v>43305</v>
      </c>
      <c r="G96" s="13" t="s">
        <v>24</v>
      </c>
      <c r="H96" s="11" t="s">
        <v>25</v>
      </c>
      <c r="I96" s="11" t="s">
        <v>16</v>
      </c>
      <c r="J96" s="11" t="s">
        <v>17</v>
      </c>
      <c r="K96" s="11">
        <v>19</v>
      </c>
      <c r="L96" s="11" t="s">
        <v>196</v>
      </c>
      <c r="M96" s="11"/>
      <c r="N96" s="14" t="s">
        <v>79</v>
      </c>
    </row>
    <row r="97" spans="1:14" x14ac:dyDescent="0.2">
      <c r="A97" s="10">
        <v>4701366915</v>
      </c>
      <c r="B97" s="11" t="s">
        <v>12</v>
      </c>
      <c r="C97" s="11" t="s">
        <v>78</v>
      </c>
      <c r="D97" s="11">
        <v>540</v>
      </c>
      <c r="E97" s="7" t="s">
        <v>199</v>
      </c>
      <c r="F97" s="13">
        <v>43305</v>
      </c>
      <c r="G97" s="13" t="s">
        <v>24</v>
      </c>
      <c r="H97" s="11" t="s">
        <v>25</v>
      </c>
      <c r="I97" s="11" t="s">
        <v>16</v>
      </c>
      <c r="J97" s="11" t="s">
        <v>17</v>
      </c>
      <c r="K97" s="11">
        <v>20</v>
      </c>
      <c r="L97" s="11" t="s">
        <v>196</v>
      </c>
      <c r="M97" s="11" t="s">
        <v>152</v>
      </c>
      <c r="N97" s="14" t="s">
        <v>79</v>
      </c>
    </row>
    <row r="98" spans="1:14" x14ac:dyDescent="0.2">
      <c r="A98" s="10">
        <v>4701366916</v>
      </c>
      <c r="B98" s="11" t="s">
        <v>12</v>
      </c>
      <c r="C98" s="11" t="s">
        <v>29</v>
      </c>
      <c r="D98" s="11">
        <v>23</v>
      </c>
      <c r="E98" s="7" t="s">
        <v>199</v>
      </c>
      <c r="F98" s="13">
        <v>43305</v>
      </c>
      <c r="G98" s="13" t="s">
        <v>91</v>
      </c>
      <c r="H98" s="11" t="s">
        <v>166</v>
      </c>
      <c r="I98" s="11" t="s">
        <v>24</v>
      </c>
      <c r="J98" s="11" t="s">
        <v>25</v>
      </c>
      <c r="K98" s="11">
        <v>21</v>
      </c>
      <c r="L98" s="11" t="s">
        <v>196</v>
      </c>
      <c r="M98" s="11"/>
      <c r="N98" s="14" t="s">
        <v>30</v>
      </c>
    </row>
    <row r="99" spans="1:14" x14ac:dyDescent="0.2">
      <c r="A99" s="10"/>
      <c r="B99" s="11" t="s">
        <v>92</v>
      </c>
      <c r="C99" s="11" t="s">
        <v>93</v>
      </c>
      <c r="D99" s="11">
        <v>7</v>
      </c>
      <c r="E99" s="7" t="s">
        <v>199</v>
      </c>
      <c r="F99" s="13">
        <v>43305</v>
      </c>
      <c r="G99" s="13" t="s">
        <v>91</v>
      </c>
      <c r="H99" s="11" t="s">
        <v>166</v>
      </c>
      <c r="I99" s="11" t="s">
        <v>24</v>
      </c>
      <c r="J99" s="11" t="s">
        <v>25</v>
      </c>
      <c r="K99" s="11">
        <v>21</v>
      </c>
      <c r="L99" s="11" t="s">
        <v>196</v>
      </c>
      <c r="M99" s="11"/>
      <c r="N99" s="14" t="s">
        <v>95</v>
      </c>
    </row>
    <row r="100" spans="1:14" x14ac:dyDescent="0.2">
      <c r="A100" s="10">
        <v>4701366917</v>
      </c>
      <c r="B100" s="11" t="s">
        <v>12</v>
      </c>
      <c r="C100" s="11" t="s">
        <v>44</v>
      </c>
      <c r="D100" s="11">
        <v>30</v>
      </c>
      <c r="E100" s="7" t="s">
        <v>199</v>
      </c>
      <c r="F100" s="13">
        <v>43305</v>
      </c>
      <c r="G100" s="13" t="s">
        <v>91</v>
      </c>
      <c r="H100" s="11" t="s">
        <v>166</v>
      </c>
      <c r="I100" s="11" t="s">
        <v>16</v>
      </c>
      <c r="J100" s="11" t="s">
        <v>17</v>
      </c>
      <c r="K100" s="11">
        <v>21</v>
      </c>
      <c r="L100" s="11" t="s">
        <v>196</v>
      </c>
      <c r="M100" s="11"/>
      <c r="N100" s="14" t="s">
        <v>45</v>
      </c>
    </row>
    <row r="101" spans="1:14" x14ac:dyDescent="0.2">
      <c r="A101" s="10"/>
      <c r="B101" s="11" t="s">
        <v>12</v>
      </c>
      <c r="C101" s="11" t="s">
        <v>13</v>
      </c>
      <c r="D101" s="11">
        <v>260</v>
      </c>
      <c r="E101" s="7" t="s">
        <v>199</v>
      </c>
      <c r="F101" s="13">
        <v>43305</v>
      </c>
      <c r="G101" s="13" t="s">
        <v>91</v>
      </c>
      <c r="H101" s="11" t="s">
        <v>166</v>
      </c>
      <c r="I101" s="11" t="s">
        <v>16</v>
      </c>
      <c r="J101" s="11" t="s">
        <v>17</v>
      </c>
      <c r="K101" s="11">
        <v>21</v>
      </c>
      <c r="L101" s="11" t="s">
        <v>196</v>
      </c>
      <c r="M101" s="11"/>
      <c r="N101" s="14" t="s">
        <v>18</v>
      </c>
    </row>
    <row r="102" spans="1:14" x14ac:dyDescent="0.2">
      <c r="A102" s="10"/>
      <c r="B102" s="11" t="s">
        <v>12</v>
      </c>
      <c r="C102" s="11" t="s">
        <v>57</v>
      </c>
      <c r="D102" s="32">
        <f>23-23</f>
        <v>0</v>
      </c>
      <c r="E102" s="7" t="s">
        <v>199</v>
      </c>
      <c r="F102" s="13">
        <v>43305</v>
      </c>
      <c r="G102" s="13" t="s">
        <v>91</v>
      </c>
      <c r="H102" s="11" t="s">
        <v>166</v>
      </c>
      <c r="I102" s="11" t="s">
        <v>16</v>
      </c>
      <c r="J102" s="11" t="s">
        <v>17</v>
      </c>
      <c r="K102" s="11">
        <v>21</v>
      </c>
      <c r="L102" s="11" t="s">
        <v>196</v>
      </c>
      <c r="M102" s="11"/>
      <c r="N102" s="14" t="s">
        <v>58</v>
      </c>
    </row>
    <row r="103" spans="1:14" x14ac:dyDescent="0.2">
      <c r="A103" s="10">
        <v>4701366918</v>
      </c>
      <c r="B103" s="11" t="s">
        <v>12</v>
      </c>
      <c r="C103" s="11" t="s">
        <v>44</v>
      </c>
      <c r="D103" s="11">
        <v>12</v>
      </c>
      <c r="E103" s="7" t="s">
        <v>199</v>
      </c>
      <c r="F103" s="13">
        <v>43305</v>
      </c>
      <c r="G103" s="13" t="s">
        <v>132</v>
      </c>
      <c r="H103" s="11" t="s">
        <v>180</v>
      </c>
      <c r="I103" s="11" t="s">
        <v>16</v>
      </c>
      <c r="J103" s="11" t="s">
        <v>17</v>
      </c>
      <c r="K103" s="11">
        <v>22</v>
      </c>
      <c r="L103" s="11" t="s">
        <v>196</v>
      </c>
      <c r="M103" s="11" t="s">
        <v>133</v>
      </c>
      <c r="N103" s="14" t="s">
        <v>45</v>
      </c>
    </row>
    <row r="104" spans="1:14" x14ac:dyDescent="0.2">
      <c r="A104" s="10"/>
      <c r="B104" s="11" t="s">
        <v>12</v>
      </c>
      <c r="C104" s="11" t="s">
        <v>13</v>
      </c>
      <c r="D104" s="11">
        <v>9</v>
      </c>
      <c r="E104" s="7" t="s">
        <v>199</v>
      </c>
      <c r="F104" s="13">
        <v>43305</v>
      </c>
      <c r="G104" s="13" t="s">
        <v>132</v>
      </c>
      <c r="H104" s="11" t="s">
        <v>180</v>
      </c>
      <c r="I104" s="11" t="s">
        <v>16</v>
      </c>
      <c r="J104" s="11" t="s">
        <v>17</v>
      </c>
      <c r="K104" s="11">
        <v>22</v>
      </c>
      <c r="L104" s="11" t="s">
        <v>196</v>
      </c>
      <c r="M104" s="11" t="s">
        <v>133</v>
      </c>
      <c r="N104" s="14" t="s">
        <v>18</v>
      </c>
    </row>
    <row r="105" spans="1:14" x14ac:dyDescent="0.2">
      <c r="A105" s="10"/>
      <c r="B105" s="11" t="s">
        <v>12</v>
      </c>
      <c r="C105" s="11" t="s">
        <v>19</v>
      </c>
      <c r="D105" s="11">
        <v>150</v>
      </c>
      <c r="E105" s="7" t="s">
        <v>199</v>
      </c>
      <c r="F105" s="13">
        <v>43305</v>
      </c>
      <c r="G105" s="13" t="s">
        <v>132</v>
      </c>
      <c r="H105" s="11" t="s">
        <v>180</v>
      </c>
      <c r="I105" s="11" t="s">
        <v>16</v>
      </c>
      <c r="J105" s="11" t="s">
        <v>17</v>
      </c>
      <c r="K105" s="11">
        <v>22</v>
      </c>
      <c r="L105" s="11" t="s">
        <v>196</v>
      </c>
      <c r="M105" s="11" t="s">
        <v>133</v>
      </c>
      <c r="N105" s="14" t="s">
        <v>20</v>
      </c>
    </row>
    <row r="106" spans="1:14" x14ac:dyDescent="0.2">
      <c r="A106" s="10">
        <v>4701366919</v>
      </c>
      <c r="B106" s="11" t="s">
        <v>12</v>
      </c>
      <c r="C106" s="11" t="s">
        <v>44</v>
      </c>
      <c r="D106" s="11">
        <v>10</v>
      </c>
      <c r="E106" s="7" t="s">
        <v>199</v>
      </c>
      <c r="F106" s="13">
        <v>43305</v>
      </c>
      <c r="G106" s="13" t="s">
        <v>134</v>
      </c>
      <c r="H106" s="11" t="s">
        <v>181</v>
      </c>
      <c r="I106" s="11" t="s">
        <v>16</v>
      </c>
      <c r="J106" s="11" t="s">
        <v>17</v>
      </c>
      <c r="K106" s="11">
        <v>22</v>
      </c>
      <c r="L106" s="11" t="s">
        <v>196</v>
      </c>
      <c r="M106" s="11" t="s">
        <v>133</v>
      </c>
      <c r="N106" s="14" t="s">
        <v>45</v>
      </c>
    </row>
    <row r="107" spans="1:14" x14ac:dyDescent="0.2">
      <c r="A107" s="10"/>
      <c r="B107" s="11" t="s">
        <v>12</v>
      </c>
      <c r="C107" s="11" t="s">
        <v>13</v>
      </c>
      <c r="D107" s="11">
        <v>25</v>
      </c>
      <c r="E107" s="7" t="s">
        <v>199</v>
      </c>
      <c r="F107" s="13">
        <v>43305</v>
      </c>
      <c r="G107" s="13" t="s">
        <v>134</v>
      </c>
      <c r="H107" s="11" t="s">
        <v>181</v>
      </c>
      <c r="I107" s="11" t="s">
        <v>16</v>
      </c>
      <c r="J107" s="11" t="s">
        <v>17</v>
      </c>
      <c r="K107" s="11">
        <v>22</v>
      </c>
      <c r="L107" s="11" t="s">
        <v>196</v>
      </c>
      <c r="M107" s="11" t="s">
        <v>133</v>
      </c>
      <c r="N107" s="14" t="s">
        <v>18</v>
      </c>
    </row>
    <row r="108" spans="1:14" x14ac:dyDescent="0.2">
      <c r="A108" s="10"/>
      <c r="B108" s="11" t="s">
        <v>12</v>
      </c>
      <c r="C108" s="11" t="s">
        <v>19</v>
      </c>
      <c r="D108" s="11">
        <v>310</v>
      </c>
      <c r="E108" s="7" t="s">
        <v>199</v>
      </c>
      <c r="F108" s="13">
        <v>43305</v>
      </c>
      <c r="G108" s="13" t="s">
        <v>134</v>
      </c>
      <c r="H108" s="11" t="s">
        <v>181</v>
      </c>
      <c r="I108" s="11" t="s">
        <v>16</v>
      </c>
      <c r="J108" s="11" t="s">
        <v>17</v>
      </c>
      <c r="K108" s="11">
        <v>22</v>
      </c>
      <c r="L108" s="11" t="s">
        <v>196</v>
      </c>
      <c r="M108" s="11" t="s">
        <v>133</v>
      </c>
      <c r="N108" s="14" t="s">
        <v>20</v>
      </c>
    </row>
    <row r="109" spans="1:14" x14ac:dyDescent="0.2">
      <c r="A109" s="10">
        <v>4701366920</v>
      </c>
      <c r="B109" s="11" t="s">
        <v>33</v>
      </c>
      <c r="C109" s="11" t="s">
        <v>34</v>
      </c>
      <c r="D109" s="11">
        <v>40</v>
      </c>
      <c r="E109" s="7" t="s">
        <v>199</v>
      </c>
      <c r="F109" s="13">
        <v>43305</v>
      </c>
      <c r="G109" s="13" t="s">
        <v>112</v>
      </c>
      <c r="H109" s="11" t="s">
        <v>113</v>
      </c>
      <c r="I109" s="11" t="s">
        <v>24</v>
      </c>
      <c r="J109" s="11" t="s">
        <v>25</v>
      </c>
      <c r="K109" s="11">
        <v>23</v>
      </c>
      <c r="L109" s="11" t="s">
        <v>195</v>
      </c>
      <c r="M109" s="11"/>
      <c r="N109" s="14" t="s">
        <v>35</v>
      </c>
    </row>
    <row r="110" spans="1:14" x14ac:dyDescent="0.2">
      <c r="A110" s="10"/>
      <c r="B110" s="11" t="s">
        <v>33</v>
      </c>
      <c r="C110" s="11" t="s">
        <v>36</v>
      </c>
      <c r="D110" s="11">
        <v>40</v>
      </c>
      <c r="E110" s="7" t="s">
        <v>199</v>
      </c>
      <c r="F110" s="13">
        <v>43305</v>
      </c>
      <c r="G110" s="13" t="s">
        <v>112</v>
      </c>
      <c r="H110" s="11" t="s">
        <v>113</v>
      </c>
      <c r="I110" s="11" t="s">
        <v>24</v>
      </c>
      <c r="J110" s="11" t="s">
        <v>25</v>
      </c>
      <c r="K110" s="11">
        <v>23</v>
      </c>
      <c r="L110" s="11" t="s">
        <v>195</v>
      </c>
      <c r="M110" s="11"/>
      <c r="N110" s="14" t="s">
        <v>37</v>
      </c>
    </row>
    <row r="111" spans="1:14" x14ac:dyDescent="0.2">
      <c r="A111" s="10"/>
      <c r="B111" s="11" t="s">
        <v>33</v>
      </c>
      <c r="C111" s="11" t="s">
        <v>53</v>
      </c>
      <c r="D111" s="11">
        <v>30</v>
      </c>
      <c r="E111" s="7" t="s">
        <v>199</v>
      </c>
      <c r="F111" s="13">
        <v>43305</v>
      </c>
      <c r="G111" s="13" t="s">
        <v>112</v>
      </c>
      <c r="H111" s="11" t="s">
        <v>113</v>
      </c>
      <c r="I111" s="11" t="s">
        <v>24</v>
      </c>
      <c r="J111" s="11" t="s">
        <v>25</v>
      </c>
      <c r="K111" s="11">
        <v>23</v>
      </c>
      <c r="L111" s="11" t="s">
        <v>195</v>
      </c>
      <c r="M111" s="11"/>
      <c r="N111" s="14" t="s">
        <v>54</v>
      </c>
    </row>
    <row r="112" spans="1:14" x14ac:dyDescent="0.2">
      <c r="A112" s="10">
        <v>4701366921</v>
      </c>
      <c r="B112" s="11" t="s">
        <v>12</v>
      </c>
      <c r="C112" s="11" t="s">
        <v>13</v>
      </c>
      <c r="D112" s="11">
        <v>24</v>
      </c>
      <c r="E112" s="7" t="s">
        <v>199</v>
      </c>
      <c r="F112" s="13">
        <v>43305</v>
      </c>
      <c r="G112" s="13" t="s">
        <v>112</v>
      </c>
      <c r="H112" s="11" t="s">
        <v>113</v>
      </c>
      <c r="I112" s="11" t="s">
        <v>16</v>
      </c>
      <c r="J112" s="11" t="s">
        <v>17</v>
      </c>
      <c r="K112" s="11">
        <v>23</v>
      </c>
      <c r="L112" s="11" t="s">
        <v>195</v>
      </c>
      <c r="M112" s="11"/>
      <c r="N112" s="14" t="s">
        <v>18</v>
      </c>
    </row>
    <row r="113" spans="1:14" x14ac:dyDescent="0.2">
      <c r="A113" s="10"/>
      <c r="B113" s="11" t="s">
        <v>12</v>
      </c>
      <c r="C113" s="11" t="s">
        <v>19</v>
      </c>
      <c r="D113" s="11">
        <v>320</v>
      </c>
      <c r="E113" s="7" t="s">
        <v>199</v>
      </c>
      <c r="F113" s="13">
        <v>43305</v>
      </c>
      <c r="G113" s="13" t="s">
        <v>112</v>
      </c>
      <c r="H113" s="11" t="s">
        <v>113</v>
      </c>
      <c r="I113" s="11" t="s">
        <v>16</v>
      </c>
      <c r="J113" s="11" t="s">
        <v>17</v>
      </c>
      <c r="K113" s="11">
        <v>23</v>
      </c>
      <c r="L113" s="11" t="s">
        <v>195</v>
      </c>
      <c r="M113" s="11"/>
      <c r="N113" s="14" t="s">
        <v>20</v>
      </c>
    </row>
    <row r="114" spans="1:14" x14ac:dyDescent="0.2">
      <c r="A114" s="10">
        <v>4701366922</v>
      </c>
      <c r="B114" s="11" t="s">
        <v>12</v>
      </c>
      <c r="C114" s="11" t="s">
        <v>19</v>
      </c>
      <c r="D114" s="11">
        <v>483</v>
      </c>
      <c r="E114" s="7" t="s">
        <v>199</v>
      </c>
      <c r="F114" s="13">
        <v>43305</v>
      </c>
      <c r="G114" s="13" t="s">
        <v>112</v>
      </c>
      <c r="H114" s="11" t="s">
        <v>113</v>
      </c>
      <c r="I114" s="11" t="s">
        <v>16</v>
      </c>
      <c r="J114" s="11" t="s">
        <v>17</v>
      </c>
      <c r="K114" s="11">
        <v>24</v>
      </c>
      <c r="L114" s="11" t="s">
        <v>195</v>
      </c>
      <c r="M114" s="11"/>
      <c r="N114" s="14" t="s">
        <v>20</v>
      </c>
    </row>
    <row r="115" spans="1:14" x14ac:dyDescent="0.2">
      <c r="A115" s="10">
        <v>4701366923</v>
      </c>
      <c r="B115" s="11" t="s">
        <v>12</v>
      </c>
      <c r="C115" s="11" t="s">
        <v>19</v>
      </c>
      <c r="D115" s="11">
        <v>30</v>
      </c>
      <c r="E115" s="7" t="s">
        <v>199</v>
      </c>
      <c r="F115" s="13">
        <v>43305</v>
      </c>
      <c r="G115" s="13" t="s">
        <v>146</v>
      </c>
      <c r="H115" s="11" t="s">
        <v>147</v>
      </c>
      <c r="I115" s="11" t="s">
        <v>24</v>
      </c>
      <c r="J115" s="11" t="s">
        <v>25</v>
      </c>
      <c r="K115" s="11">
        <v>25</v>
      </c>
      <c r="L115" s="11" t="s">
        <v>197</v>
      </c>
      <c r="M115" s="11"/>
      <c r="N115" s="14" t="s">
        <v>20</v>
      </c>
    </row>
    <row r="116" spans="1:14" x14ac:dyDescent="0.2">
      <c r="A116" s="10"/>
      <c r="B116" s="11" t="s">
        <v>92</v>
      </c>
      <c r="C116" s="11" t="s">
        <v>109</v>
      </c>
      <c r="D116" s="11">
        <v>10</v>
      </c>
      <c r="E116" s="7" t="s">
        <v>199</v>
      </c>
      <c r="F116" s="13">
        <v>43305</v>
      </c>
      <c r="G116" s="13" t="s">
        <v>146</v>
      </c>
      <c r="H116" s="11" t="s">
        <v>147</v>
      </c>
      <c r="I116" s="11" t="s">
        <v>24</v>
      </c>
      <c r="J116" s="11" t="s">
        <v>25</v>
      </c>
      <c r="K116" s="11">
        <v>25</v>
      </c>
      <c r="L116" s="11" t="s">
        <v>197</v>
      </c>
      <c r="M116" s="11"/>
      <c r="N116" s="14" t="s">
        <v>110</v>
      </c>
    </row>
    <row r="117" spans="1:14" x14ac:dyDescent="0.2">
      <c r="A117" s="10"/>
      <c r="B117" s="11" t="s">
        <v>92</v>
      </c>
      <c r="C117" s="11" t="s">
        <v>96</v>
      </c>
      <c r="D117" s="11">
        <v>20</v>
      </c>
      <c r="E117" s="7" t="s">
        <v>199</v>
      </c>
      <c r="F117" s="13">
        <v>43305</v>
      </c>
      <c r="G117" s="13" t="s">
        <v>146</v>
      </c>
      <c r="H117" s="11" t="s">
        <v>147</v>
      </c>
      <c r="I117" s="11" t="s">
        <v>24</v>
      </c>
      <c r="J117" s="11" t="s">
        <v>25</v>
      </c>
      <c r="K117" s="11">
        <v>25</v>
      </c>
      <c r="L117" s="11" t="s">
        <v>197</v>
      </c>
      <c r="M117" s="11"/>
      <c r="N117" s="14" t="s">
        <v>97</v>
      </c>
    </row>
    <row r="118" spans="1:14" x14ac:dyDescent="0.2">
      <c r="A118" s="10"/>
      <c r="B118" s="11" t="s">
        <v>12</v>
      </c>
      <c r="C118" s="11" t="s">
        <v>51</v>
      </c>
      <c r="D118" s="11">
        <v>3</v>
      </c>
      <c r="E118" s="7" t="s">
        <v>199</v>
      </c>
      <c r="F118" s="13">
        <v>43305</v>
      </c>
      <c r="G118" s="13" t="s">
        <v>146</v>
      </c>
      <c r="H118" s="11" t="s">
        <v>147</v>
      </c>
      <c r="I118" s="11" t="s">
        <v>24</v>
      </c>
      <c r="J118" s="11" t="s">
        <v>25</v>
      </c>
      <c r="K118" s="11">
        <v>25</v>
      </c>
      <c r="L118" s="11" t="s">
        <v>197</v>
      </c>
      <c r="M118" s="11"/>
      <c r="N118" s="14" t="s">
        <v>52</v>
      </c>
    </row>
    <row r="119" spans="1:14" x14ac:dyDescent="0.2">
      <c r="A119" s="10">
        <v>4701366924</v>
      </c>
      <c r="B119" s="11" t="s">
        <v>33</v>
      </c>
      <c r="C119" s="11" t="s">
        <v>36</v>
      </c>
      <c r="D119" s="11">
        <v>65</v>
      </c>
      <c r="E119" s="7" t="s">
        <v>199</v>
      </c>
      <c r="F119" s="13">
        <v>43305</v>
      </c>
      <c r="G119" s="13" t="s">
        <v>146</v>
      </c>
      <c r="H119" s="11" t="s">
        <v>147</v>
      </c>
      <c r="I119" s="11" t="s">
        <v>24</v>
      </c>
      <c r="J119" s="11" t="s">
        <v>25</v>
      </c>
      <c r="K119" s="11">
        <v>25</v>
      </c>
      <c r="L119" s="11" t="s">
        <v>197</v>
      </c>
      <c r="M119" s="11"/>
      <c r="N119" s="14" t="s">
        <v>37</v>
      </c>
    </row>
    <row r="120" spans="1:14" x14ac:dyDescent="0.2">
      <c r="A120" s="10">
        <v>4701366925</v>
      </c>
      <c r="B120" s="11" t="s">
        <v>12</v>
      </c>
      <c r="C120" s="11" t="s">
        <v>19</v>
      </c>
      <c r="D120" s="11">
        <v>130</v>
      </c>
      <c r="E120" s="7" t="s">
        <v>199</v>
      </c>
      <c r="F120" s="13">
        <v>43305</v>
      </c>
      <c r="G120" s="13" t="s">
        <v>146</v>
      </c>
      <c r="H120" s="11" t="s">
        <v>147</v>
      </c>
      <c r="I120" s="11" t="s">
        <v>16</v>
      </c>
      <c r="J120" s="11" t="s">
        <v>17</v>
      </c>
      <c r="K120" s="11">
        <v>26</v>
      </c>
      <c r="L120" s="11" t="s">
        <v>197</v>
      </c>
      <c r="M120" s="11"/>
      <c r="N120" s="14" t="s">
        <v>20</v>
      </c>
    </row>
    <row r="121" spans="1:14" x14ac:dyDescent="0.2">
      <c r="A121" s="10"/>
      <c r="B121" s="11" t="s">
        <v>12</v>
      </c>
      <c r="C121" s="11" t="s">
        <v>40</v>
      </c>
      <c r="D121" s="11">
        <v>5</v>
      </c>
      <c r="E121" s="7" t="s">
        <v>199</v>
      </c>
      <c r="F121" s="13">
        <v>43305</v>
      </c>
      <c r="G121" s="13" t="s">
        <v>146</v>
      </c>
      <c r="H121" s="11" t="s">
        <v>147</v>
      </c>
      <c r="I121" s="11" t="s">
        <v>16</v>
      </c>
      <c r="J121" s="11" t="s">
        <v>17</v>
      </c>
      <c r="K121" s="11">
        <v>26</v>
      </c>
      <c r="L121" s="11" t="s">
        <v>197</v>
      </c>
      <c r="M121" s="11"/>
      <c r="N121" s="14" t="s">
        <v>41</v>
      </c>
    </row>
    <row r="122" spans="1:14" x14ac:dyDescent="0.2">
      <c r="A122" s="10">
        <v>4701366926</v>
      </c>
      <c r="B122" s="11" t="s">
        <v>33</v>
      </c>
      <c r="C122" s="11" t="s">
        <v>34</v>
      </c>
      <c r="D122" s="11">
        <v>50</v>
      </c>
      <c r="E122" s="7" t="s">
        <v>199</v>
      </c>
      <c r="F122" s="13">
        <v>43305</v>
      </c>
      <c r="G122" s="13" t="s">
        <v>114</v>
      </c>
      <c r="H122" s="11" t="s">
        <v>190</v>
      </c>
      <c r="I122" s="11" t="s">
        <v>24</v>
      </c>
      <c r="J122" s="11" t="s">
        <v>25</v>
      </c>
      <c r="K122" s="11">
        <v>27</v>
      </c>
      <c r="L122" s="11" t="s">
        <v>194</v>
      </c>
      <c r="M122" s="11"/>
      <c r="N122" s="14" t="s">
        <v>35</v>
      </c>
    </row>
    <row r="123" spans="1:14" x14ac:dyDescent="0.2">
      <c r="A123" s="10"/>
      <c r="B123" s="11" t="s">
        <v>33</v>
      </c>
      <c r="C123" s="11" t="s">
        <v>36</v>
      </c>
      <c r="D123" s="11">
        <v>50</v>
      </c>
      <c r="E123" s="7" t="s">
        <v>199</v>
      </c>
      <c r="F123" s="13">
        <v>43305</v>
      </c>
      <c r="G123" s="13" t="s">
        <v>114</v>
      </c>
      <c r="H123" s="11" t="s">
        <v>190</v>
      </c>
      <c r="I123" s="11" t="s">
        <v>24</v>
      </c>
      <c r="J123" s="11" t="s">
        <v>25</v>
      </c>
      <c r="K123" s="11">
        <v>27</v>
      </c>
      <c r="L123" s="11" t="s">
        <v>194</v>
      </c>
      <c r="M123" s="11"/>
      <c r="N123" s="14" t="s">
        <v>37</v>
      </c>
    </row>
    <row r="124" spans="1:14" x14ac:dyDescent="0.2">
      <c r="A124" s="10"/>
      <c r="B124" s="11" t="s">
        <v>33</v>
      </c>
      <c r="C124" s="11" t="s">
        <v>53</v>
      </c>
      <c r="D124" s="11">
        <v>45</v>
      </c>
      <c r="E124" s="7" t="s">
        <v>199</v>
      </c>
      <c r="F124" s="13">
        <v>43305</v>
      </c>
      <c r="G124" s="13" t="s">
        <v>114</v>
      </c>
      <c r="H124" s="11" t="s">
        <v>190</v>
      </c>
      <c r="I124" s="11" t="s">
        <v>24</v>
      </c>
      <c r="J124" s="11" t="s">
        <v>25</v>
      </c>
      <c r="K124" s="11">
        <v>27</v>
      </c>
      <c r="L124" s="11" t="s">
        <v>194</v>
      </c>
      <c r="M124" s="11"/>
      <c r="N124" s="14" t="s">
        <v>54</v>
      </c>
    </row>
    <row r="125" spans="1:14" x14ac:dyDescent="0.2">
      <c r="A125" s="10">
        <v>4701366927</v>
      </c>
      <c r="B125" s="11" t="s">
        <v>12</v>
      </c>
      <c r="C125" s="11" t="s">
        <v>19</v>
      </c>
      <c r="D125" s="11">
        <v>960</v>
      </c>
      <c r="E125" s="7" t="s">
        <v>199</v>
      </c>
      <c r="F125" s="13">
        <v>43305</v>
      </c>
      <c r="G125" s="13" t="s">
        <v>114</v>
      </c>
      <c r="H125" s="11" t="s">
        <v>190</v>
      </c>
      <c r="I125" s="11" t="s">
        <v>16</v>
      </c>
      <c r="J125" s="11" t="s">
        <v>17</v>
      </c>
      <c r="K125" s="11">
        <v>27</v>
      </c>
      <c r="L125" s="11" t="s">
        <v>194</v>
      </c>
      <c r="M125" s="11"/>
      <c r="N125" s="14" t="s">
        <v>20</v>
      </c>
    </row>
    <row r="126" spans="1:14" x14ac:dyDescent="0.2">
      <c r="A126" s="10">
        <v>4701366928</v>
      </c>
      <c r="B126" s="11" t="s">
        <v>12</v>
      </c>
      <c r="C126" s="11" t="s">
        <v>19</v>
      </c>
      <c r="D126" s="11">
        <v>1138</v>
      </c>
      <c r="E126" s="7" t="s">
        <v>199</v>
      </c>
      <c r="F126" s="13">
        <v>43305</v>
      </c>
      <c r="G126" s="13" t="s">
        <v>114</v>
      </c>
      <c r="H126" s="11" t="s">
        <v>190</v>
      </c>
      <c r="I126" s="11" t="s">
        <v>16</v>
      </c>
      <c r="J126" s="11" t="s">
        <v>17</v>
      </c>
      <c r="K126" s="11">
        <v>28</v>
      </c>
      <c r="L126" s="11" t="s">
        <v>194</v>
      </c>
      <c r="M126" s="11"/>
      <c r="N126" s="14" t="s">
        <v>20</v>
      </c>
    </row>
    <row r="127" spans="1:14" x14ac:dyDescent="0.2">
      <c r="A127" s="10"/>
      <c r="B127" s="38" t="s">
        <v>12</v>
      </c>
      <c r="C127" s="38" t="s">
        <v>13</v>
      </c>
      <c r="D127" s="38">
        <v>23</v>
      </c>
      <c r="E127" s="39" t="s">
        <v>199</v>
      </c>
      <c r="F127" s="40">
        <v>43305</v>
      </c>
      <c r="G127" s="38" t="s">
        <v>24</v>
      </c>
      <c r="H127" s="38" t="s">
        <v>193</v>
      </c>
      <c r="I127" s="38" t="s">
        <v>24</v>
      </c>
      <c r="J127" s="38" t="s">
        <v>25</v>
      </c>
      <c r="K127" s="38"/>
      <c r="L127" s="38"/>
      <c r="M127" s="38"/>
      <c r="N127" s="41" t="s">
        <v>18</v>
      </c>
    </row>
    <row r="128" spans="1:14" x14ac:dyDescent="0.2">
      <c r="A128" s="10"/>
      <c r="B128" s="38" t="s">
        <v>12</v>
      </c>
      <c r="C128" s="38" t="s">
        <v>29</v>
      </c>
      <c r="D128" s="38">
        <v>15</v>
      </c>
      <c r="E128" s="39" t="s">
        <v>199</v>
      </c>
      <c r="F128" s="40">
        <v>43305</v>
      </c>
      <c r="G128" s="38" t="s">
        <v>24</v>
      </c>
      <c r="H128" s="38" t="s">
        <v>193</v>
      </c>
      <c r="I128" s="38" t="s">
        <v>24</v>
      </c>
      <c r="J128" s="38" t="s">
        <v>25</v>
      </c>
      <c r="K128" s="38"/>
      <c r="L128" s="38"/>
      <c r="M128" s="38"/>
      <c r="N128" s="41" t="s">
        <v>30</v>
      </c>
    </row>
    <row r="129" spans="1:14" x14ac:dyDescent="0.2">
      <c r="A129" s="10"/>
      <c r="B129" s="38" t="s">
        <v>92</v>
      </c>
      <c r="C129" s="38" t="s">
        <v>96</v>
      </c>
      <c r="D129" s="38">
        <v>35</v>
      </c>
      <c r="E129" s="39" t="s">
        <v>199</v>
      </c>
      <c r="F129" s="40">
        <v>43305</v>
      </c>
      <c r="G129" s="38" t="s">
        <v>24</v>
      </c>
      <c r="H129" s="38" t="s">
        <v>193</v>
      </c>
      <c r="I129" s="38" t="s">
        <v>24</v>
      </c>
      <c r="J129" s="38" t="s">
        <v>25</v>
      </c>
      <c r="K129" s="38"/>
      <c r="L129" s="38"/>
      <c r="M129" s="38"/>
      <c r="N129" s="41" t="s">
        <v>97</v>
      </c>
    </row>
    <row r="130" spans="1:14" x14ac:dyDescent="0.2">
      <c r="A130" s="10"/>
      <c r="B130" s="38" t="s">
        <v>12</v>
      </c>
      <c r="C130" s="38" t="s">
        <v>49</v>
      </c>
      <c r="D130" s="38">
        <v>100</v>
      </c>
      <c r="E130" s="39" t="s">
        <v>199</v>
      </c>
      <c r="F130" s="40">
        <v>43305</v>
      </c>
      <c r="G130" s="38" t="s">
        <v>24</v>
      </c>
      <c r="H130" s="38" t="s">
        <v>193</v>
      </c>
      <c r="I130" s="38" t="s">
        <v>24</v>
      </c>
      <c r="J130" s="38" t="s">
        <v>25</v>
      </c>
      <c r="K130" s="38"/>
      <c r="L130" s="38"/>
      <c r="M130" s="38"/>
      <c r="N130" s="41" t="s">
        <v>50</v>
      </c>
    </row>
    <row r="131" spans="1:14" x14ac:dyDescent="0.2">
      <c r="A131" s="10"/>
      <c r="B131" s="38" t="s">
        <v>33</v>
      </c>
      <c r="C131" s="38" t="s">
        <v>34</v>
      </c>
      <c r="D131" s="38">
        <v>30</v>
      </c>
      <c r="E131" s="39" t="s">
        <v>199</v>
      </c>
      <c r="F131" s="40">
        <v>43305</v>
      </c>
      <c r="G131" s="38" t="s">
        <v>24</v>
      </c>
      <c r="H131" s="38" t="s">
        <v>193</v>
      </c>
      <c r="I131" s="38" t="s">
        <v>24</v>
      </c>
      <c r="J131" s="38" t="s">
        <v>25</v>
      </c>
      <c r="K131" s="38"/>
      <c r="L131" s="38"/>
      <c r="M131" s="38"/>
      <c r="N131" s="41" t="s">
        <v>35</v>
      </c>
    </row>
    <row r="132" spans="1:14" x14ac:dyDescent="0.2">
      <c r="A132" s="10"/>
      <c r="B132" s="38" t="s">
        <v>33</v>
      </c>
      <c r="C132" s="38" t="s">
        <v>53</v>
      </c>
      <c r="D132" s="38">
        <v>50</v>
      </c>
      <c r="E132" s="39" t="s">
        <v>199</v>
      </c>
      <c r="F132" s="40">
        <v>43305</v>
      </c>
      <c r="G132" s="38" t="s">
        <v>24</v>
      </c>
      <c r="H132" s="38" t="s">
        <v>193</v>
      </c>
      <c r="I132" s="38" t="s">
        <v>24</v>
      </c>
      <c r="J132" s="38" t="s">
        <v>25</v>
      </c>
      <c r="K132" s="38"/>
      <c r="L132" s="38"/>
      <c r="M132" s="38"/>
      <c r="N132" s="41" t="s">
        <v>54</v>
      </c>
    </row>
    <row r="133" spans="1:14" x14ac:dyDescent="0.2">
      <c r="A133" s="10"/>
      <c r="B133" s="38" t="s">
        <v>12</v>
      </c>
      <c r="C133" s="38" t="s">
        <v>78</v>
      </c>
      <c r="D133" s="38">
        <v>540</v>
      </c>
      <c r="E133" s="39" t="s">
        <v>199</v>
      </c>
      <c r="F133" s="40">
        <v>43305</v>
      </c>
      <c r="G133" s="38" t="s">
        <v>24</v>
      </c>
      <c r="H133" s="38" t="s">
        <v>193</v>
      </c>
      <c r="I133" s="38" t="s">
        <v>24</v>
      </c>
      <c r="J133" s="38" t="s">
        <v>25</v>
      </c>
      <c r="K133" s="38"/>
      <c r="L133" s="38"/>
      <c r="M133" s="38"/>
      <c r="N133" s="42" t="s">
        <v>79</v>
      </c>
    </row>
  </sheetData>
  <autoFilter ref="A3:N133"/>
  <sortState ref="B4:N266">
    <sortCondition ref="K4:K266"/>
    <sortCondition ref="H4:H266"/>
    <sortCondition ref="J4:J266"/>
  </sortState>
  <mergeCells count="1">
    <mergeCell ref="A1:M1"/>
  </mergeCells>
  <printOptions horizontalCentered="1"/>
  <pageMargins left="0" right="0" top="0.5" bottom="0.5" header="0" footer="0"/>
  <pageSetup paperSize="9" scale="58" orientation="portrait" cellComments="asDisplayed" r:id="rId1"/>
  <headerFooter alignWithMargins="0">
    <oddFooter>&amp;RPage &amp;P of &amp;[Pages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188"/>
  <sheetViews>
    <sheetView showGridLines="0" zoomScaleNormal="100" workbookViewId="0">
      <pane ySplit="3" topLeftCell="A4" activePane="bottomLeft" state="frozen"/>
      <selection activeCell="B7" sqref="B7"/>
      <selection pane="bottomLeft" activeCell="B185" sqref="B185"/>
    </sheetView>
  </sheetViews>
  <sheetFormatPr defaultColWidth="9.42578125" defaultRowHeight="12.75" x14ac:dyDescent="0.2"/>
  <cols>
    <col min="1" max="1" width="11.28515625" style="8" customWidth="1"/>
    <col min="2" max="2" width="32" style="8" customWidth="1"/>
    <col min="3" max="3" width="15" style="8" customWidth="1"/>
    <col min="4" max="4" width="5.42578125" style="8" customWidth="1"/>
    <col min="5" max="5" width="5.5703125" style="7" bestFit="1" customWidth="1"/>
    <col min="6" max="6" width="12.140625" style="16" customWidth="1"/>
    <col min="7" max="7" width="6" style="16" customWidth="1"/>
    <col min="8" max="8" width="24.5703125" style="8" customWidth="1"/>
    <col min="9" max="9" width="6" style="8" customWidth="1"/>
    <col min="10" max="10" width="24" style="8" customWidth="1"/>
    <col min="11" max="11" width="3.5703125" style="8" bestFit="1" customWidth="1"/>
    <col min="12" max="12" width="14" style="8" bestFit="1" customWidth="1"/>
    <col min="13" max="13" width="32.28515625" style="8" customWidth="1"/>
    <col min="14" max="14" width="14" style="15" bestFit="1" customWidth="1"/>
    <col min="15" max="15" width="9.5703125" style="7" customWidth="1"/>
    <col min="16" max="16384" width="9.42578125" style="8"/>
  </cols>
  <sheetData>
    <row r="1" spans="1:15" s="2" customFormat="1" x14ac:dyDescent="0.2">
      <c r="A1" s="44" t="str">
        <f>"Pengiriman ( Rabu ) Tgl. "&amp;TEXT(MID(Selasa!A1,FIND(".",Selasa!A1,1)+2,17)+1,"dd mmmm yyyy")</f>
        <v>Pengiriman ( Rabu ) Tgl. 25 July 2018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6"/>
      <c r="O1" s="1"/>
    </row>
    <row r="2" spans="1:15" s="2" customFormat="1" ht="15" customHeight="1" thickBot="1" x14ac:dyDescent="0.25">
      <c r="E2" s="1"/>
      <c r="F2" s="3"/>
      <c r="G2" s="3"/>
      <c r="N2" s="6"/>
      <c r="O2" s="1"/>
    </row>
    <row r="3" spans="1:15" s="2" customFormat="1" ht="13.5" thickBot="1" x14ac:dyDescent="0.25">
      <c r="A3" s="4" t="s">
        <v>9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19"/>
      <c r="H3" s="20" t="s">
        <v>5</v>
      </c>
      <c r="I3" s="19"/>
      <c r="J3" s="20" t="s">
        <v>6</v>
      </c>
      <c r="K3" s="5" t="s">
        <v>7</v>
      </c>
      <c r="L3" s="5" t="s">
        <v>10</v>
      </c>
      <c r="M3" s="5" t="s">
        <v>8</v>
      </c>
      <c r="N3" s="5" t="s">
        <v>11</v>
      </c>
      <c r="O3" s="1"/>
    </row>
    <row r="4" spans="1:15" x14ac:dyDescent="0.2">
      <c r="A4" s="10">
        <v>4701367438</v>
      </c>
      <c r="B4" s="11" t="s">
        <v>12</v>
      </c>
      <c r="C4" s="11" t="s">
        <v>21</v>
      </c>
      <c r="D4" s="11">
        <v>400</v>
      </c>
      <c r="E4" s="7" t="s">
        <v>199</v>
      </c>
      <c r="F4" s="13">
        <v>43306</v>
      </c>
      <c r="G4" s="13" t="s">
        <v>14</v>
      </c>
      <c r="H4" s="11" t="s">
        <v>15</v>
      </c>
      <c r="I4" s="11" t="s">
        <v>24</v>
      </c>
      <c r="J4" s="11" t="s">
        <v>25</v>
      </c>
      <c r="K4" s="11">
        <v>1</v>
      </c>
      <c r="L4" s="11" t="s">
        <v>194</v>
      </c>
      <c r="M4" s="11"/>
      <c r="N4" s="14" t="s">
        <v>26</v>
      </c>
    </row>
    <row r="5" spans="1:15" x14ac:dyDescent="0.2">
      <c r="A5" s="10">
        <v>4701367439</v>
      </c>
      <c r="B5" s="11" t="s">
        <v>33</v>
      </c>
      <c r="C5" s="11" t="s">
        <v>34</v>
      </c>
      <c r="D5" s="11">
        <v>150</v>
      </c>
      <c r="E5" s="7" t="s">
        <v>199</v>
      </c>
      <c r="F5" s="13">
        <v>43306</v>
      </c>
      <c r="G5" s="13" t="s">
        <v>14</v>
      </c>
      <c r="H5" s="11" t="s">
        <v>15</v>
      </c>
      <c r="I5" s="11" t="s">
        <v>24</v>
      </c>
      <c r="J5" s="11" t="s">
        <v>25</v>
      </c>
      <c r="K5" s="11">
        <v>1</v>
      </c>
      <c r="L5" s="11" t="s">
        <v>194</v>
      </c>
      <c r="M5" s="11"/>
      <c r="N5" s="14" t="s">
        <v>35</v>
      </c>
    </row>
    <row r="6" spans="1:15" x14ac:dyDescent="0.2">
      <c r="A6" s="10">
        <v>4701367440</v>
      </c>
      <c r="B6" s="11" t="s">
        <v>12</v>
      </c>
      <c r="C6" s="11" t="s">
        <v>19</v>
      </c>
      <c r="D6" s="11">
        <v>570</v>
      </c>
      <c r="E6" s="7" t="s">
        <v>199</v>
      </c>
      <c r="F6" s="13">
        <v>43306</v>
      </c>
      <c r="G6" s="13" t="s">
        <v>14</v>
      </c>
      <c r="H6" s="11" t="s">
        <v>15</v>
      </c>
      <c r="I6" s="11" t="s">
        <v>16</v>
      </c>
      <c r="J6" s="11" t="s">
        <v>17</v>
      </c>
      <c r="K6" s="11">
        <v>1</v>
      </c>
      <c r="L6" s="11" t="s">
        <v>194</v>
      </c>
      <c r="M6" s="11"/>
      <c r="N6" s="14" t="s">
        <v>20</v>
      </c>
    </row>
    <row r="7" spans="1:15" x14ac:dyDescent="0.2">
      <c r="A7" s="10">
        <v>4701367441</v>
      </c>
      <c r="B7" s="11" t="s">
        <v>12</v>
      </c>
      <c r="C7" s="11" t="s">
        <v>19</v>
      </c>
      <c r="D7" s="11">
        <v>1138</v>
      </c>
      <c r="E7" s="7" t="s">
        <v>199</v>
      </c>
      <c r="F7" s="13">
        <v>43306</v>
      </c>
      <c r="G7" s="13" t="s">
        <v>14</v>
      </c>
      <c r="H7" s="11" t="s">
        <v>15</v>
      </c>
      <c r="I7" s="11" t="s">
        <v>16</v>
      </c>
      <c r="J7" s="11" t="s">
        <v>17</v>
      </c>
      <c r="K7" s="11">
        <v>2</v>
      </c>
      <c r="L7" s="11" t="s">
        <v>194</v>
      </c>
      <c r="M7" s="11"/>
      <c r="N7" s="14" t="s">
        <v>20</v>
      </c>
    </row>
    <row r="8" spans="1:15" x14ac:dyDescent="0.2">
      <c r="A8" s="10">
        <v>4701367442</v>
      </c>
      <c r="B8" s="11" t="s">
        <v>12</v>
      </c>
      <c r="C8" s="11" t="s">
        <v>13</v>
      </c>
      <c r="D8" s="11">
        <v>729</v>
      </c>
      <c r="E8" s="7" t="s">
        <v>199</v>
      </c>
      <c r="F8" s="13">
        <v>43306</v>
      </c>
      <c r="G8" s="13" t="s">
        <v>14</v>
      </c>
      <c r="H8" s="11" t="s">
        <v>15</v>
      </c>
      <c r="I8" s="11" t="s">
        <v>16</v>
      </c>
      <c r="J8" s="11" t="s">
        <v>17</v>
      </c>
      <c r="K8" s="11">
        <v>3</v>
      </c>
      <c r="L8" s="11" t="s">
        <v>194</v>
      </c>
      <c r="M8" s="11"/>
      <c r="N8" s="14" t="s">
        <v>18</v>
      </c>
    </row>
    <row r="9" spans="1:15" x14ac:dyDescent="0.2">
      <c r="A9" s="10">
        <v>4701367443</v>
      </c>
      <c r="B9" s="11" t="s">
        <v>12</v>
      </c>
      <c r="C9" s="11" t="s">
        <v>19</v>
      </c>
      <c r="D9" s="11">
        <v>1138</v>
      </c>
      <c r="E9" s="7" t="s">
        <v>199</v>
      </c>
      <c r="F9" s="13">
        <v>43306</v>
      </c>
      <c r="G9" s="13" t="s">
        <v>14</v>
      </c>
      <c r="H9" s="11" t="s">
        <v>15</v>
      </c>
      <c r="I9" s="11" t="s">
        <v>16</v>
      </c>
      <c r="J9" s="11" t="s">
        <v>17</v>
      </c>
      <c r="K9" s="11">
        <v>4</v>
      </c>
      <c r="L9" s="11" t="s">
        <v>194</v>
      </c>
      <c r="M9" s="11"/>
      <c r="N9" s="14" t="s">
        <v>20</v>
      </c>
    </row>
    <row r="10" spans="1:15" x14ac:dyDescent="0.2">
      <c r="A10" s="10">
        <v>4701367444</v>
      </c>
      <c r="B10" s="11" t="s">
        <v>12</v>
      </c>
      <c r="C10" s="11" t="s">
        <v>21</v>
      </c>
      <c r="D10" s="11">
        <v>270</v>
      </c>
      <c r="E10" s="7" t="s">
        <v>199</v>
      </c>
      <c r="F10" s="13">
        <v>43306</v>
      </c>
      <c r="G10" s="13" t="s">
        <v>14</v>
      </c>
      <c r="H10" s="11" t="s">
        <v>15</v>
      </c>
      <c r="I10" s="11" t="s">
        <v>24</v>
      </c>
      <c r="J10" s="11" t="s">
        <v>25</v>
      </c>
      <c r="K10" s="11">
        <v>5</v>
      </c>
      <c r="L10" s="11" t="s">
        <v>194</v>
      </c>
      <c r="M10" s="11"/>
      <c r="N10" s="14" t="s">
        <v>26</v>
      </c>
    </row>
    <row r="11" spans="1:15" x14ac:dyDescent="0.2">
      <c r="A11" s="10"/>
      <c r="B11" s="11" t="s">
        <v>12</v>
      </c>
      <c r="C11" s="11" t="s">
        <v>31</v>
      </c>
      <c r="D11" s="11">
        <v>500</v>
      </c>
      <c r="E11" s="7" t="s">
        <v>199</v>
      </c>
      <c r="F11" s="13">
        <v>43306</v>
      </c>
      <c r="G11" s="13" t="s">
        <v>14</v>
      </c>
      <c r="H11" s="11" t="s">
        <v>15</v>
      </c>
      <c r="I11" s="11" t="s">
        <v>24</v>
      </c>
      <c r="J11" s="11" t="s">
        <v>25</v>
      </c>
      <c r="K11" s="11">
        <v>5</v>
      </c>
      <c r="L11" s="11" t="s">
        <v>194</v>
      </c>
      <c r="M11" s="11"/>
      <c r="N11" s="14" t="s">
        <v>32</v>
      </c>
    </row>
    <row r="12" spans="1:15" x14ac:dyDescent="0.2">
      <c r="A12" s="10">
        <v>4701367445</v>
      </c>
      <c r="B12" s="11" t="s">
        <v>12</v>
      </c>
      <c r="C12" s="11" t="s">
        <v>21</v>
      </c>
      <c r="D12" s="11">
        <v>70</v>
      </c>
      <c r="E12" s="7" t="s">
        <v>199</v>
      </c>
      <c r="F12" s="13">
        <v>43306</v>
      </c>
      <c r="G12" s="13" t="s">
        <v>46</v>
      </c>
      <c r="H12" s="11" t="s">
        <v>169</v>
      </c>
      <c r="I12" s="11" t="s">
        <v>24</v>
      </c>
      <c r="J12" s="11" t="s">
        <v>25</v>
      </c>
      <c r="K12" s="11">
        <v>6</v>
      </c>
      <c r="L12" s="11" t="s">
        <v>194</v>
      </c>
      <c r="M12" s="11"/>
      <c r="N12" s="14" t="s">
        <v>26</v>
      </c>
    </row>
    <row r="13" spans="1:15" x14ac:dyDescent="0.2">
      <c r="A13" s="10"/>
      <c r="B13" s="11" t="s">
        <v>12</v>
      </c>
      <c r="C13" s="11" t="s">
        <v>27</v>
      </c>
      <c r="D13" s="11">
        <v>210</v>
      </c>
      <c r="E13" s="7" t="s">
        <v>199</v>
      </c>
      <c r="F13" s="13">
        <v>43306</v>
      </c>
      <c r="G13" s="13" t="s">
        <v>46</v>
      </c>
      <c r="H13" s="11" t="s">
        <v>169</v>
      </c>
      <c r="I13" s="11" t="s">
        <v>24</v>
      </c>
      <c r="J13" s="11" t="s">
        <v>25</v>
      </c>
      <c r="K13" s="11">
        <v>6</v>
      </c>
      <c r="L13" s="11" t="s">
        <v>194</v>
      </c>
      <c r="M13" s="11"/>
      <c r="N13" s="14" t="s">
        <v>28</v>
      </c>
    </row>
    <row r="14" spans="1:15" x14ac:dyDescent="0.2">
      <c r="A14" s="10"/>
      <c r="B14" s="11" t="s">
        <v>12</v>
      </c>
      <c r="C14" s="11" t="s">
        <v>19</v>
      </c>
      <c r="D14" s="11">
        <v>120</v>
      </c>
      <c r="E14" s="7" t="s">
        <v>199</v>
      </c>
      <c r="F14" s="13">
        <v>43306</v>
      </c>
      <c r="G14" s="13" t="s">
        <v>46</v>
      </c>
      <c r="H14" s="11" t="s">
        <v>169</v>
      </c>
      <c r="I14" s="11" t="s">
        <v>24</v>
      </c>
      <c r="J14" s="11" t="s">
        <v>25</v>
      </c>
      <c r="K14" s="11">
        <v>6</v>
      </c>
      <c r="L14" s="11" t="s">
        <v>194</v>
      </c>
      <c r="M14" s="11"/>
      <c r="N14" s="14" t="s">
        <v>20</v>
      </c>
    </row>
    <row r="15" spans="1:15" x14ac:dyDescent="0.2">
      <c r="A15" s="10"/>
      <c r="B15" s="11" t="s">
        <v>92</v>
      </c>
      <c r="C15" s="11" t="s">
        <v>109</v>
      </c>
      <c r="D15" s="11">
        <v>117</v>
      </c>
      <c r="E15" s="7" t="s">
        <v>199</v>
      </c>
      <c r="F15" s="13">
        <v>43306</v>
      </c>
      <c r="G15" s="13" t="s">
        <v>46</v>
      </c>
      <c r="H15" s="11" t="s">
        <v>169</v>
      </c>
      <c r="I15" s="11" t="s">
        <v>24</v>
      </c>
      <c r="J15" s="11" t="s">
        <v>25</v>
      </c>
      <c r="K15" s="11">
        <v>6</v>
      </c>
      <c r="L15" s="11" t="s">
        <v>194</v>
      </c>
      <c r="M15" s="11"/>
      <c r="N15" s="14" t="s">
        <v>110</v>
      </c>
    </row>
    <row r="16" spans="1:15" x14ac:dyDescent="0.2">
      <c r="A16" s="10"/>
      <c r="B16" s="11" t="s">
        <v>92</v>
      </c>
      <c r="C16" s="11" t="s">
        <v>96</v>
      </c>
      <c r="D16" s="11">
        <v>210</v>
      </c>
      <c r="E16" s="7" t="s">
        <v>199</v>
      </c>
      <c r="F16" s="13">
        <v>43306</v>
      </c>
      <c r="G16" s="13" t="s">
        <v>46</v>
      </c>
      <c r="H16" s="11" t="s">
        <v>169</v>
      </c>
      <c r="I16" s="11" t="s">
        <v>24</v>
      </c>
      <c r="J16" s="11" t="s">
        <v>25</v>
      </c>
      <c r="K16" s="11">
        <v>6</v>
      </c>
      <c r="L16" s="11" t="s">
        <v>194</v>
      </c>
      <c r="M16" s="11"/>
      <c r="N16" s="14" t="s">
        <v>97</v>
      </c>
    </row>
    <row r="17" spans="1:15" x14ac:dyDescent="0.2">
      <c r="A17" s="10">
        <v>4701367446</v>
      </c>
      <c r="B17" s="11" t="s">
        <v>33</v>
      </c>
      <c r="C17" s="11" t="s">
        <v>34</v>
      </c>
      <c r="D17" s="11">
        <v>80</v>
      </c>
      <c r="E17" s="7" t="s">
        <v>199</v>
      </c>
      <c r="F17" s="13">
        <v>43306</v>
      </c>
      <c r="G17" s="13" t="s">
        <v>46</v>
      </c>
      <c r="H17" s="11" t="s">
        <v>169</v>
      </c>
      <c r="I17" s="11" t="s">
        <v>24</v>
      </c>
      <c r="J17" s="11" t="s">
        <v>25</v>
      </c>
      <c r="K17" s="11">
        <v>6</v>
      </c>
      <c r="L17" s="11" t="s">
        <v>194</v>
      </c>
      <c r="M17" s="11"/>
      <c r="N17" s="14" t="s">
        <v>35</v>
      </c>
    </row>
    <row r="18" spans="1:15" x14ac:dyDescent="0.2">
      <c r="A18" s="10"/>
      <c r="B18" s="11" t="s">
        <v>33</v>
      </c>
      <c r="C18" s="11" t="s">
        <v>36</v>
      </c>
      <c r="D18" s="11">
        <v>137</v>
      </c>
      <c r="E18" s="7" t="s">
        <v>199</v>
      </c>
      <c r="F18" s="13">
        <v>43306</v>
      </c>
      <c r="G18" s="13" t="s">
        <v>46</v>
      </c>
      <c r="H18" s="11" t="s">
        <v>169</v>
      </c>
      <c r="I18" s="11" t="s">
        <v>24</v>
      </c>
      <c r="J18" s="11" t="s">
        <v>25</v>
      </c>
      <c r="K18" s="11">
        <v>6</v>
      </c>
      <c r="L18" s="11" t="s">
        <v>194</v>
      </c>
      <c r="M18" s="11"/>
      <c r="N18" s="14" t="s">
        <v>37</v>
      </c>
    </row>
    <row r="19" spans="1:15" x14ac:dyDescent="0.2">
      <c r="A19" s="10">
        <v>4701367447</v>
      </c>
      <c r="B19" s="11" t="s">
        <v>12</v>
      </c>
      <c r="C19" s="11" t="s">
        <v>38</v>
      </c>
      <c r="D19" s="11">
        <v>270</v>
      </c>
      <c r="E19" s="7" t="s">
        <v>199</v>
      </c>
      <c r="F19" s="13">
        <v>43306</v>
      </c>
      <c r="G19" s="13" t="s">
        <v>46</v>
      </c>
      <c r="H19" s="11" t="s">
        <v>169</v>
      </c>
      <c r="I19" s="11" t="s">
        <v>16</v>
      </c>
      <c r="J19" s="11" t="s">
        <v>17</v>
      </c>
      <c r="K19" s="11">
        <v>7</v>
      </c>
      <c r="L19" s="11" t="s">
        <v>194</v>
      </c>
      <c r="M19" s="11"/>
      <c r="N19" s="14" t="s">
        <v>39</v>
      </c>
    </row>
    <row r="20" spans="1:15" x14ac:dyDescent="0.2">
      <c r="A20" s="10"/>
      <c r="B20" s="11" t="s">
        <v>12</v>
      </c>
      <c r="C20" s="11" t="s">
        <v>19</v>
      </c>
      <c r="D20" s="11">
        <v>819</v>
      </c>
      <c r="E20" s="7" t="s">
        <v>199</v>
      </c>
      <c r="F20" s="13">
        <v>43306</v>
      </c>
      <c r="G20" s="13" t="s">
        <v>46</v>
      </c>
      <c r="H20" s="11" t="s">
        <v>169</v>
      </c>
      <c r="I20" s="11" t="s">
        <v>16</v>
      </c>
      <c r="J20" s="11" t="s">
        <v>17</v>
      </c>
      <c r="K20" s="11">
        <v>7</v>
      </c>
      <c r="L20" s="11" t="s">
        <v>194</v>
      </c>
      <c r="M20" s="11"/>
      <c r="N20" s="14" t="s">
        <v>20</v>
      </c>
    </row>
    <row r="21" spans="1:15" x14ac:dyDescent="0.2">
      <c r="A21" s="10">
        <v>4701367448</v>
      </c>
      <c r="B21" s="11" t="s">
        <v>12</v>
      </c>
      <c r="C21" s="11" t="s">
        <v>21</v>
      </c>
      <c r="D21" s="11">
        <v>100</v>
      </c>
      <c r="E21" s="7" t="s">
        <v>199</v>
      </c>
      <c r="F21" s="13">
        <v>43306</v>
      </c>
      <c r="G21" s="13" t="s">
        <v>46</v>
      </c>
      <c r="H21" s="11" t="s">
        <v>169</v>
      </c>
      <c r="I21" s="11" t="s">
        <v>24</v>
      </c>
      <c r="J21" s="11" t="s">
        <v>25</v>
      </c>
      <c r="K21" s="11">
        <v>8</v>
      </c>
      <c r="L21" s="11" t="s">
        <v>56</v>
      </c>
      <c r="M21" s="11"/>
      <c r="N21" s="14" t="s">
        <v>26</v>
      </c>
    </row>
    <row r="22" spans="1:15" x14ac:dyDescent="0.2">
      <c r="A22" s="10"/>
      <c r="B22" s="11" t="s">
        <v>92</v>
      </c>
      <c r="C22" s="11" t="s">
        <v>109</v>
      </c>
      <c r="D22" s="11">
        <v>83</v>
      </c>
      <c r="E22" s="7" t="s">
        <v>199</v>
      </c>
      <c r="F22" s="13">
        <v>43306</v>
      </c>
      <c r="G22" s="13" t="s">
        <v>46</v>
      </c>
      <c r="H22" s="11" t="s">
        <v>169</v>
      </c>
      <c r="I22" s="11" t="s">
        <v>24</v>
      </c>
      <c r="J22" s="11" t="s">
        <v>25</v>
      </c>
      <c r="K22" s="11">
        <v>8</v>
      </c>
      <c r="L22" s="11" t="s">
        <v>56</v>
      </c>
      <c r="M22" s="11"/>
      <c r="N22" s="14" t="s">
        <v>110</v>
      </c>
    </row>
    <row r="23" spans="1:15" x14ac:dyDescent="0.2">
      <c r="A23" s="10"/>
      <c r="B23" s="11" t="s">
        <v>12</v>
      </c>
      <c r="C23" s="11" t="s">
        <v>51</v>
      </c>
      <c r="D23" s="11">
        <v>232</v>
      </c>
      <c r="E23" s="7" t="s">
        <v>199</v>
      </c>
      <c r="F23" s="13">
        <v>43306</v>
      </c>
      <c r="G23" s="13" t="s">
        <v>46</v>
      </c>
      <c r="H23" s="11" t="s">
        <v>169</v>
      </c>
      <c r="I23" s="11" t="s">
        <v>24</v>
      </c>
      <c r="J23" s="11" t="s">
        <v>25</v>
      </c>
      <c r="K23" s="11">
        <v>8</v>
      </c>
      <c r="L23" s="11" t="s">
        <v>56</v>
      </c>
      <c r="M23" s="11"/>
      <c r="N23" s="14" t="s">
        <v>52</v>
      </c>
    </row>
    <row r="24" spans="1:15" x14ac:dyDescent="0.2">
      <c r="A24" s="10">
        <v>4701367449</v>
      </c>
      <c r="B24" s="11" t="s">
        <v>12</v>
      </c>
      <c r="C24" s="11" t="s">
        <v>65</v>
      </c>
      <c r="D24" s="11">
        <v>1</v>
      </c>
      <c r="E24" s="12" t="s">
        <v>199</v>
      </c>
      <c r="F24" s="13">
        <v>43306</v>
      </c>
      <c r="G24" s="13" t="s">
        <v>46</v>
      </c>
      <c r="H24" s="11" t="s">
        <v>169</v>
      </c>
      <c r="I24" s="11" t="s">
        <v>16</v>
      </c>
      <c r="J24" s="11" t="s">
        <v>17</v>
      </c>
      <c r="K24" s="11">
        <v>8</v>
      </c>
      <c r="L24" s="11" t="s">
        <v>56</v>
      </c>
      <c r="M24" s="11"/>
      <c r="N24" s="14" t="s">
        <v>66</v>
      </c>
    </row>
    <row r="25" spans="1:15" x14ac:dyDescent="0.2">
      <c r="B25" s="11" t="s">
        <v>12</v>
      </c>
      <c r="C25" s="11" t="s">
        <v>40</v>
      </c>
      <c r="D25" s="11">
        <v>185</v>
      </c>
      <c r="E25" s="12" t="s">
        <v>199</v>
      </c>
      <c r="F25" s="13">
        <v>43306</v>
      </c>
      <c r="G25" s="11" t="s">
        <v>46</v>
      </c>
      <c r="H25" s="11" t="s">
        <v>169</v>
      </c>
      <c r="I25" s="11" t="s">
        <v>16</v>
      </c>
      <c r="J25" s="11" t="s">
        <v>17</v>
      </c>
      <c r="K25" s="11">
        <v>8</v>
      </c>
      <c r="L25" s="11" t="s">
        <v>56</v>
      </c>
      <c r="M25" s="11"/>
      <c r="N25" s="8" t="s">
        <v>41</v>
      </c>
      <c r="O25" s="8"/>
    </row>
    <row r="26" spans="1:15" x14ac:dyDescent="0.2">
      <c r="A26" s="8">
        <v>4701367450</v>
      </c>
      <c r="B26" s="11" t="s">
        <v>12</v>
      </c>
      <c r="C26" s="11" t="s">
        <v>44</v>
      </c>
      <c r="D26" s="11">
        <v>30</v>
      </c>
      <c r="E26" s="12" t="s">
        <v>199</v>
      </c>
      <c r="F26" s="13">
        <v>43306</v>
      </c>
      <c r="G26" s="11" t="s">
        <v>111</v>
      </c>
      <c r="H26" s="11" t="s">
        <v>184</v>
      </c>
      <c r="I26" s="11" t="s">
        <v>16</v>
      </c>
      <c r="J26" s="11" t="s">
        <v>17</v>
      </c>
      <c r="K26" s="11">
        <v>9</v>
      </c>
      <c r="L26" s="11" t="s">
        <v>56</v>
      </c>
      <c r="M26" s="11"/>
      <c r="N26" s="8" t="s">
        <v>45</v>
      </c>
      <c r="O26" s="8"/>
    </row>
    <row r="27" spans="1:15" x14ac:dyDescent="0.2">
      <c r="A27" s="10"/>
      <c r="B27" s="11" t="s">
        <v>12</v>
      </c>
      <c r="C27" s="11" t="s">
        <v>13</v>
      </c>
      <c r="D27" s="11">
        <v>76</v>
      </c>
      <c r="E27" s="12" t="s">
        <v>199</v>
      </c>
      <c r="F27" s="13">
        <v>43306</v>
      </c>
      <c r="G27" s="13" t="s">
        <v>111</v>
      </c>
      <c r="H27" s="11" t="s">
        <v>184</v>
      </c>
      <c r="I27" s="11" t="s">
        <v>16</v>
      </c>
      <c r="J27" s="11" t="s">
        <v>17</v>
      </c>
      <c r="K27" s="11">
        <v>9</v>
      </c>
      <c r="L27" s="11" t="s">
        <v>56</v>
      </c>
      <c r="M27" s="11"/>
      <c r="N27" s="24" t="s">
        <v>18</v>
      </c>
    </row>
    <row r="28" spans="1:15" x14ac:dyDescent="0.2">
      <c r="A28" s="10"/>
      <c r="B28" s="11" t="s">
        <v>12</v>
      </c>
      <c r="C28" s="11" t="s">
        <v>38</v>
      </c>
      <c r="D28" s="11">
        <v>120</v>
      </c>
      <c r="E28" s="7" t="s">
        <v>199</v>
      </c>
      <c r="F28" s="13">
        <v>43306</v>
      </c>
      <c r="G28" s="13" t="s">
        <v>111</v>
      </c>
      <c r="H28" s="11" t="s">
        <v>184</v>
      </c>
      <c r="I28" s="11" t="s">
        <v>16</v>
      </c>
      <c r="J28" s="11" t="s">
        <v>17</v>
      </c>
      <c r="K28" s="11">
        <v>9</v>
      </c>
      <c r="L28" s="11" t="s">
        <v>56</v>
      </c>
      <c r="M28" s="11"/>
      <c r="N28" s="14" t="s">
        <v>39</v>
      </c>
    </row>
    <row r="29" spans="1:15" x14ac:dyDescent="0.2">
      <c r="A29" s="10"/>
      <c r="B29" s="11" t="s">
        <v>12</v>
      </c>
      <c r="C29" s="11" t="s">
        <v>19</v>
      </c>
      <c r="D29" s="11">
        <v>190</v>
      </c>
      <c r="E29" s="7" t="s">
        <v>199</v>
      </c>
      <c r="F29" s="13">
        <v>43306</v>
      </c>
      <c r="G29" s="13" t="s">
        <v>111</v>
      </c>
      <c r="H29" s="11" t="s">
        <v>184</v>
      </c>
      <c r="I29" s="11" t="s">
        <v>16</v>
      </c>
      <c r="J29" s="11" t="s">
        <v>17</v>
      </c>
      <c r="K29" s="11">
        <v>9</v>
      </c>
      <c r="L29" s="11" t="s">
        <v>56</v>
      </c>
      <c r="M29" s="11"/>
      <c r="N29" s="14" t="s">
        <v>20</v>
      </c>
    </row>
    <row r="30" spans="1:15" x14ac:dyDescent="0.2">
      <c r="A30" s="10"/>
      <c r="B30" s="11" t="s">
        <v>12</v>
      </c>
      <c r="C30" s="11" t="s">
        <v>40</v>
      </c>
      <c r="D30" s="11">
        <v>177</v>
      </c>
      <c r="E30" s="7" t="s">
        <v>199</v>
      </c>
      <c r="F30" s="13">
        <v>43306</v>
      </c>
      <c r="G30" s="13" t="s">
        <v>111</v>
      </c>
      <c r="H30" s="11" t="s">
        <v>184</v>
      </c>
      <c r="I30" s="11" t="s">
        <v>16</v>
      </c>
      <c r="J30" s="11" t="s">
        <v>17</v>
      </c>
      <c r="K30" s="11">
        <v>9</v>
      </c>
      <c r="L30" s="11" t="s">
        <v>56</v>
      </c>
      <c r="M30" s="11"/>
      <c r="N30" s="14" t="s">
        <v>41</v>
      </c>
    </row>
    <row r="31" spans="1:15" x14ac:dyDescent="0.2">
      <c r="A31" s="23"/>
      <c r="B31" s="11" t="s">
        <v>12</v>
      </c>
      <c r="C31" s="11" t="s">
        <v>57</v>
      </c>
      <c r="D31" s="11">
        <v>60</v>
      </c>
      <c r="E31" s="12" t="s">
        <v>199</v>
      </c>
      <c r="F31" s="13">
        <v>43306</v>
      </c>
      <c r="G31" s="13" t="s">
        <v>111</v>
      </c>
      <c r="H31" s="11" t="s">
        <v>184</v>
      </c>
      <c r="I31" s="11" t="s">
        <v>16</v>
      </c>
      <c r="J31" s="11" t="s">
        <v>17</v>
      </c>
      <c r="K31" s="11">
        <v>9</v>
      </c>
      <c r="L31" s="11" t="s">
        <v>56</v>
      </c>
      <c r="M31" s="11"/>
      <c r="N31" s="24" t="s">
        <v>58</v>
      </c>
    </row>
    <row r="32" spans="1:15" x14ac:dyDescent="0.2">
      <c r="A32" s="8">
        <v>4701367451</v>
      </c>
      <c r="B32" s="11" t="s">
        <v>12</v>
      </c>
      <c r="C32" s="11" t="s">
        <v>49</v>
      </c>
      <c r="D32" s="11">
        <v>50</v>
      </c>
      <c r="E32" s="12" t="s">
        <v>199</v>
      </c>
      <c r="F32" s="13">
        <v>43306</v>
      </c>
      <c r="G32" s="11" t="s">
        <v>59</v>
      </c>
      <c r="H32" s="11" t="s">
        <v>171</v>
      </c>
      <c r="I32" s="11" t="s">
        <v>24</v>
      </c>
      <c r="J32" s="11" t="s">
        <v>25</v>
      </c>
      <c r="K32" s="11">
        <v>10</v>
      </c>
      <c r="L32" s="11" t="s">
        <v>56</v>
      </c>
      <c r="M32" s="11" t="s">
        <v>136</v>
      </c>
      <c r="N32" s="8" t="s">
        <v>50</v>
      </c>
      <c r="O32" s="8"/>
    </row>
    <row r="33" spans="1:14" x14ac:dyDescent="0.2">
      <c r="A33" s="23">
        <v>4701367452</v>
      </c>
      <c r="B33" s="11" t="s">
        <v>12</v>
      </c>
      <c r="C33" s="11" t="s">
        <v>44</v>
      </c>
      <c r="D33" s="11">
        <v>18</v>
      </c>
      <c r="E33" s="12" t="s">
        <v>199</v>
      </c>
      <c r="F33" s="13">
        <v>43306</v>
      </c>
      <c r="G33" s="13" t="s">
        <v>59</v>
      </c>
      <c r="H33" s="11" t="s">
        <v>171</v>
      </c>
      <c r="I33" s="11" t="s">
        <v>16</v>
      </c>
      <c r="J33" s="11" t="s">
        <v>17</v>
      </c>
      <c r="K33" s="11">
        <v>10</v>
      </c>
      <c r="L33" s="11" t="s">
        <v>56</v>
      </c>
      <c r="M33" s="11" t="s">
        <v>136</v>
      </c>
      <c r="N33" s="24" t="s">
        <v>45</v>
      </c>
    </row>
    <row r="34" spans="1:14" x14ac:dyDescent="0.2">
      <c r="A34" s="10"/>
      <c r="B34" s="11" t="s">
        <v>12</v>
      </c>
      <c r="C34" s="11" t="s">
        <v>47</v>
      </c>
      <c r="D34" s="11">
        <v>1</v>
      </c>
      <c r="E34" s="7" t="s">
        <v>199</v>
      </c>
      <c r="F34" s="13">
        <v>43306</v>
      </c>
      <c r="G34" s="13" t="s">
        <v>59</v>
      </c>
      <c r="H34" s="11" t="s">
        <v>171</v>
      </c>
      <c r="I34" s="11" t="s">
        <v>16</v>
      </c>
      <c r="J34" s="11" t="s">
        <v>17</v>
      </c>
      <c r="K34" s="11">
        <v>10</v>
      </c>
      <c r="L34" s="11" t="s">
        <v>56</v>
      </c>
      <c r="M34" s="11" t="s">
        <v>136</v>
      </c>
      <c r="N34" s="14" t="s">
        <v>48</v>
      </c>
    </row>
    <row r="35" spans="1:14" x14ac:dyDescent="0.2">
      <c r="A35" s="10"/>
      <c r="B35" s="11" t="s">
        <v>12</v>
      </c>
      <c r="C35" s="11" t="s">
        <v>38</v>
      </c>
      <c r="D35" s="11">
        <v>24</v>
      </c>
      <c r="E35" s="7" t="s">
        <v>199</v>
      </c>
      <c r="F35" s="13">
        <v>43306</v>
      </c>
      <c r="G35" s="13" t="s">
        <v>59</v>
      </c>
      <c r="H35" s="11" t="s">
        <v>171</v>
      </c>
      <c r="I35" s="11" t="s">
        <v>16</v>
      </c>
      <c r="J35" s="11" t="s">
        <v>17</v>
      </c>
      <c r="K35" s="11">
        <v>10</v>
      </c>
      <c r="L35" s="11" t="s">
        <v>56</v>
      </c>
      <c r="M35" s="11" t="s">
        <v>136</v>
      </c>
      <c r="N35" s="14" t="s">
        <v>39</v>
      </c>
    </row>
    <row r="36" spans="1:14" x14ac:dyDescent="0.2">
      <c r="A36" s="10"/>
      <c r="B36" s="11" t="s">
        <v>12</v>
      </c>
      <c r="C36" s="11" t="s">
        <v>19</v>
      </c>
      <c r="D36" s="11">
        <v>135</v>
      </c>
      <c r="E36" s="7" t="s">
        <v>199</v>
      </c>
      <c r="F36" s="13">
        <v>43306</v>
      </c>
      <c r="G36" s="13" t="s">
        <v>59</v>
      </c>
      <c r="H36" s="11" t="s">
        <v>171</v>
      </c>
      <c r="I36" s="11" t="s">
        <v>16</v>
      </c>
      <c r="J36" s="11" t="s">
        <v>17</v>
      </c>
      <c r="K36" s="11">
        <v>10</v>
      </c>
      <c r="L36" s="11" t="s">
        <v>56</v>
      </c>
      <c r="M36" s="11" t="s">
        <v>136</v>
      </c>
      <c r="N36" s="14" t="s">
        <v>20</v>
      </c>
    </row>
    <row r="37" spans="1:14" x14ac:dyDescent="0.2">
      <c r="A37" s="10"/>
      <c r="B37" s="11" t="s">
        <v>12</v>
      </c>
      <c r="C37" s="11" t="s">
        <v>40</v>
      </c>
      <c r="D37" s="11">
        <v>10</v>
      </c>
      <c r="E37" s="7" t="s">
        <v>199</v>
      </c>
      <c r="F37" s="13">
        <v>43306</v>
      </c>
      <c r="G37" s="13" t="s">
        <v>59</v>
      </c>
      <c r="H37" s="11" t="s">
        <v>171</v>
      </c>
      <c r="I37" s="11" t="s">
        <v>16</v>
      </c>
      <c r="J37" s="11" t="s">
        <v>17</v>
      </c>
      <c r="K37" s="11">
        <v>10</v>
      </c>
      <c r="L37" s="11" t="s">
        <v>56</v>
      </c>
      <c r="M37" s="11" t="s">
        <v>136</v>
      </c>
      <c r="N37" s="14" t="s">
        <v>41</v>
      </c>
    </row>
    <row r="38" spans="1:14" x14ac:dyDescent="0.2">
      <c r="A38" s="10"/>
      <c r="B38" s="11" t="s">
        <v>12</v>
      </c>
      <c r="C38" s="11" t="s">
        <v>57</v>
      </c>
      <c r="D38" s="11">
        <v>20</v>
      </c>
      <c r="E38" s="7" t="s">
        <v>199</v>
      </c>
      <c r="F38" s="13">
        <v>43306</v>
      </c>
      <c r="G38" s="13" t="s">
        <v>59</v>
      </c>
      <c r="H38" s="11" t="s">
        <v>171</v>
      </c>
      <c r="I38" s="11" t="s">
        <v>16</v>
      </c>
      <c r="J38" s="11" t="s">
        <v>17</v>
      </c>
      <c r="K38" s="11">
        <v>10</v>
      </c>
      <c r="L38" s="11" t="s">
        <v>56</v>
      </c>
      <c r="M38" s="11" t="s">
        <v>136</v>
      </c>
      <c r="N38" s="14" t="s">
        <v>58</v>
      </c>
    </row>
    <row r="39" spans="1:14" x14ac:dyDescent="0.2">
      <c r="A39" s="10"/>
      <c r="B39" s="11" t="s">
        <v>12</v>
      </c>
      <c r="C39" s="11" t="s">
        <v>42</v>
      </c>
      <c r="D39" s="11">
        <v>30</v>
      </c>
      <c r="E39" s="7" t="s">
        <v>199</v>
      </c>
      <c r="F39" s="13">
        <v>43306</v>
      </c>
      <c r="G39" s="13" t="s">
        <v>59</v>
      </c>
      <c r="H39" s="11" t="s">
        <v>171</v>
      </c>
      <c r="I39" s="11" t="s">
        <v>16</v>
      </c>
      <c r="J39" s="11" t="s">
        <v>17</v>
      </c>
      <c r="K39" s="11">
        <v>10</v>
      </c>
      <c r="L39" s="11" t="s">
        <v>56</v>
      </c>
      <c r="M39" s="11" t="s">
        <v>136</v>
      </c>
      <c r="N39" s="14" t="s">
        <v>43</v>
      </c>
    </row>
    <row r="40" spans="1:14" x14ac:dyDescent="0.2">
      <c r="A40" s="10">
        <v>4701367453</v>
      </c>
      <c r="B40" s="11" t="s">
        <v>12</v>
      </c>
      <c r="C40" s="11" t="s">
        <v>21</v>
      </c>
      <c r="D40" s="11">
        <v>20</v>
      </c>
      <c r="E40" s="7" t="s">
        <v>199</v>
      </c>
      <c r="F40" s="13">
        <v>43306</v>
      </c>
      <c r="G40" s="13" t="s">
        <v>55</v>
      </c>
      <c r="H40" s="11" t="s">
        <v>170</v>
      </c>
      <c r="I40" s="11" t="s">
        <v>24</v>
      </c>
      <c r="J40" s="11" t="s">
        <v>25</v>
      </c>
      <c r="K40" s="11">
        <v>10</v>
      </c>
      <c r="L40" s="11" t="s">
        <v>56</v>
      </c>
      <c r="M40" s="11" t="s">
        <v>136</v>
      </c>
      <c r="N40" s="14" t="s">
        <v>26</v>
      </c>
    </row>
    <row r="41" spans="1:14" x14ac:dyDescent="0.2">
      <c r="A41" s="10"/>
      <c r="B41" s="11" t="s">
        <v>12</v>
      </c>
      <c r="C41" s="11" t="s">
        <v>29</v>
      </c>
      <c r="D41" s="11">
        <v>12</v>
      </c>
      <c r="E41" s="7" t="s">
        <v>199</v>
      </c>
      <c r="F41" s="13">
        <v>43306</v>
      </c>
      <c r="G41" s="13" t="s">
        <v>55</v>
      </c>
      <c r="H41" s="11" t="s">
        <v>170</v>
      </c>
      <c r="I41" s="11" t="s">
        <v>24</v>
      </c>
      <c r="J41" s="11" t="s">
        <v>25</v>
      </c>
      <c r="K41" s="11">
        <v>10</v>
      </c>
      <c r="L41" s="11" t="s">
        <v>56</v>
      </c>
      <c r="M41" s="11" t="s">
        <v>136</v>
      </c>
      <c r="N41" s="14" t="s">
        <v>30</v>
      </c>
    </row>
    <row r="42" spans="1:14" x14ac:dyDescent="0.2">
      <c r="A42" s="10"/>
      <c r="B42" s="11" t="s">
        <v>92</v>
      </c>
      <c r="C42" s="11" t="s">
        <v>109</v>
      </c>
      <c r="D42" s="11">
        <v>20</v>
      </c>
      <c r="E42" s="7" t="s">
        <v>199</v>
      </c>
      <c r="F42" s="13">
        <v>43306</v>
      </c>
      <c r="G42" s="13" t="s">
        <v>55</v>
      </c>
      <c r="H42" s="11" t="s">
        <v>170</v>
      </c>
      <c r="I42" s="11" t="s">
        <v>24</v>
      </c>
      <c r="J42" s="11" t="s">
        <v>25</v>
      </c>
      <c r="K42" s="11">
        <v>10</v>
      </c>
      <c r="L42" s="11" t="s">
        <v>56</v>
      </c>
      <c r="M42" s="11" t="s">
        <v>136</v>
      </c>
      <c r="N42" s="14" t="s">
        <v>110</v>
      </c>
    </row>
    <row r="43" spans="1:14" x14ac:dyDescent="0.2">
      <c r="A43" s="10"/>
      <c r="B43" s="11" t="s">
        <v>12</v>
      </c>
      <c r="C43" s="11" t="s">
        <v>49</v>
      </c>
      <c r="D43" s="11">
        <v>50</v>
      </c>
      <c r="E43" s="7" t="s">
        <v>199</v>
      </c>
      <c r="F43" s="13">
        <v>43306</v>
      </c>
      <c r="G43" s="13" t="s">
        <v>55</v>
      </c>
      <c r="H43" s="11" t="s">
        <v>170</v>
      </c>
      <c r="I43" s="11" t="s">
        <v>24</v>
      </c>
      <c r="J43" s="11" t="s">
        <v>25</v>
      </c>
      <c r="K43" s="11">
        <v>10</v>
      </c>
      <c r="L43" s="11" t="s">
        <v>56</v>
      </c>
      <c r="M43" s="11" t="s">
        <v>136</v>
      </c>
      <c r="N43" s="14" t="s">
        <v>50</v>
      </c>
    </row>
    <row r="44" spans="1:14" x14ac:dyDescent="0.2">
      <c r="A44" s="10">
        <v>4701367454</v>
      </c>
      <c r="B44" s="11" t="s">
        <v>12</v>
      </c>
      <c r="C44" s="11" t="s">
        <v>44</v>
      </c>
      <c r="D44" s="11">
        <v>11</v>
      </c>
      <c r="E44" s="7" t="s">
        <v>199</v>
      </c>
      <c r="F44" s="13">
        <v>43306</v>
      </c>
      <c r="G44" s="13" t="s">
        <v>55</v>
      </c>
      <c r="H44" s="11" t="s">
        <v>170</v>
      </c>
      <c r="I44" s="11" t="s">
        <v>16</v>
      </c>
      <c r="J44" s="11" t="s">
        <v>17</v>
      </c>
      <c r="K44" s="11">
        <v>10</v>
      </c>
      <c r="L44" s="11" t="s">
        <v>56</v>
      </c>
      <c r="M44" s="11" t="s">
        <v>136</v>
      </c>
      <c r="N44" s="14" t="s">
        <v>45</v>
      </c>
    </row>
    <row r="45" spans="1:14" x14ac:dyDescent="0.2">
      <c r="A45" s="10"/>
      <c r="B45" s="11" t="s">
        <v>12</v>
      </c>
      <c r="C45" s="11" t="s">
        <v>47</v>
      </c>
      <c r="D45" s="11">
        <v>1</v>
      </c>
      <c r="E45" s="7" t="s">
        <v>199</v>
      </c>
      <c r="F45" s="13">
        <v>43306</v>
      </c>
      <c r="G45" s="13" t="s">
        <v>55</v>
      </c>
      <c r="H45" s="11" t="s">
        <v>170</v>
      </c>
      <c r="I45" s="11" t="s">
        <v>16</v>
      </c>
      <c r="J45" s="11" t="s">
        <v>17</v>
      </c>
      <c r="K45" s="11">
        <v>10</v>
      </c>
      <c r="L45" s="11" t="s">
        <v>56</v>
      </c>
      <c r="M45" s="11" t="s">
        <v>136</v>
      </c>
      <c r="N45" s="14" t="s">
        <v>48</v>
      </c>
    </row>
    <row r="46" spans="1:14" x14ac:dyDescent="0.2">
      <c r="A46" s="10"/>
      <c r="B46" s="11" t="s">
        <v>12</v>
      </c>
      <c r="C46" s="11" t="s">
        <v>13</v>
      </c>
      <c r="D46" s="11">
        <v>4</v>
      </c>
      <c r="E46" s="7" t="s">
        <v>199</v>
      </c>
      <c r="F46" s="13">
        <v>43306</v>
      </c>
      <c r="G46" s="13" t="s">
        <v>55</v>
      </c>
      <c r="H46" s="11" t="s">
        <v>170</v>
      </c>
      <c r="I46" s="11" t="s">
        <v>16</v>
      </c>
      <c r="J46" s="11" t="s">
        <v>17</v>
      </c>
      <c r="K46" s="11">
        <v>10</v>
      </c>
      <c r="L46" s="11" t="s">
        <v>56</v>
      </c>
      <c r="M46" s="11" t="s">
        <v>136</v>
      </c>
      <c r="N46" s="14" t="s">
        <v>18</v>
      </c>
    </row>
    <row r="47" spans="1:14" x14ac:dyDescent="0.2">
      <c r="A47" s="10"/>
      <c r="B47" s="11" t="s">
        <v>12</v>
      </c>
      <c r="C47" s="11" t="s">
        <v>38</v>
      </c>
      <c r="D47" s="11">
        <v>24</v>
      </c>
      <c r="E47" s="7" t="s">
        <v>199</v>
      </c>
      <c r="F47" s="13">
        <v>43306</v>
      </c>
      <c r="G47" s="13" t="s">
        <v>55</v>
      </c>
      <c r="H47" s="11" t="s">
        <v>170</v>
      </c>
      <c r="I47" s="11" t="s">
        <v>16</v>
      </c>
      <c r="J47" s="11" t="s">
        <v>17</v>
      </c>
      <c r="K47" s="11">
        <v>10</v>
      </c>
      <c r="L47" s="11" t="s">
        <v>56</v>
      </c>
      <c r="M47" s="11" t="s">
        <v>136</v>
      </c>
      <c r="N47" s="14" t="s">
        <v>39</v>
      </c>
    </row>
    <row r="48" spans="1:14" x14ac:dyDescent="0.2">
      <c r="A48" s="10"/>
      <c r="B48" s="11" t="s">
        <v>12</v>
      </c>
      <c r="C48" s="11" t="s">
        <v>19</v>
      </c>
      <c r="D48" s="11">
        <v>120</v>
      </c>
      <c r="E48" s="7" t="s">
        <v>199</v>
      </c>
      <c r="F48" s="13">
        <v>43306</v>
      </c>
      <c r="G48" s="13" t="s">
        <v>55</v>
      </c>
      <c r="H48" s="11" t="s">
        <v>170</v>
      </c>
      <c r="I48" s="11" t="s">
        <v>16</v>
      </c>
      <c r="J48" s="11" t="s">
        <v>17</v>
      </c>
      <c r="K48" s="11">
        <v>10</v>
      </c>
      <c r="L48" s="11" t="s">
        <v>56</v>
      </c>
      <c r="M48" s="11" t="s">
        <v>136</v>
      </c>
      <c r="N48" s="14" t="s">
        <v>20</v>
      </c>
    </row>
    <row r="49" spans="1:14" x14ac:dyDescent="0.2">
      <c r="A49" s="10"/>
      <c r="B49" s="11" t="s">
        <v>12</v>
      </c>
      <c r="C49" s="11" t="s">
        <v>40</v>
      </c>
      <c r="D49" s="11">
        <v>15</v>
      </c>
      <c r="E49" s="7" t="s">
        <v>199</v>
      </c>
      <c r="F49" s="13">
        <v>43306</v>
      </c>
      <c r="G49" s="13" t="s">
        <v>55</v>
      </c>
      <c r="H49" s="11" t="s">
        <v>170</v>
      </c>
      <c r="I49" s="11" t="s">
        <v>16</v>
      </c>
      <c r="J49" s="11" t="s">
        <v>17</v>
      </c>
      <c r="K49" s="11">
        <v>10</v>
      </c>
      <c r="L49" s="11" t="s">
        <v>56</v>
      </c>
      <c r="M49" s="11" t="s">
        <v>136</v>
      </c>
      <c r="N49" s="14" t="s">
        <v>41</v>
      </c>
    </row>
    <row r="50" spans="1:14" x14ac:dyDescent="0.2">
      <c r="A50" s="10"/>
      <c r="B50" s="11" t="s">
        <v>12</v>
      </c>
      <c r="C50" s="11" t="s">
        <v>57</v>
      </c>
      <c r="D50" s="11">
        <v>30</v>
      </c>
      <c r="E50" s="7" t="s">
        <v>199</v>
      </c>
      <c r="F50" s="13">
        <v>43306</v>
      </c>
      <c r="G50" s="13" t="s">
        <v>55</v>
      </c>
      <c r="H50" s="11" t="s">
        <v>170</v>
      </c>
      <c r="I50" s="11" t="s">
        <v>16</v>
      </c>
      <c r="J50" s="11" t="s">
        <v>17</v>
      </c>
      <c r="K50" s="11">
        <v>10</v>
      </c>
      <c r="L50" s="11" t="s">
        <v>56</v>
      </c>
      <c r="M50" s="11" t="s">
        <v>136</v>
      </c>
      <c r="N50" s="14" t="s">
        <v>58</v>
      </c>
    </row>
    <row r="51" spans="1:14" x14ac:dyDescent="0.2">
      <c r="A51" s="10"/>
      <c r="B51" s="11" t="s">
        <v>12</v>
      </c>
      <c r="C51" s="11" t="s">
        <v>42</v>
      </c>
      <c r="D51" s="11">
        <v>30</v>
      </c>
      <c r="E51" s="7" t="s">
        <v>199</v>
      </c>
      <c r="F51" s="13">
        <v>43306</v>
      </c>
      <c r="G51" s="13" t="s">
        <v>55</v>
      </c>
      <c r="H51" s="11" t="s">
        <v>170</v>
      </c>
      <c r="I51" s="11" t="s">
        <v>16</v>
      </c>
      <c r="J51" s="11" t="s">
        <v>17</v>
      </c>
      <c r="K51" s="11">
        <v>10</v>
      </c>
      <c r="L51" s="11" t="s">
        <v>56</v>
      </c>
      <c r="M51" s="11" t="s">
        <v>136</v>
      </c>
      <c r="N51" s="14" t="s">
        <v>43</v>
      </c>
    </row>
    <row r="52" spans="1:14" x14ac:dyDescent="0.2">
      <c r="A52" s="10">
        <v>4701367455</v>
      </c>
      <c r="B52" s="11" t="s">
        <v>12</v>
      </c>
      <c r="C52" s="11" t="s">
        <v>21</v>
      </c>
      <c r="D52" s="11">
        <v>30</v>
      </c>
      <c r="E52" s="7" t="s">
        <v>199</v>
      </c>
      <c r="F52" s="13">
        <v>43306</v>
      </c>
      <c r="G52" s="13" t="s">
        <v>60</v>
      </c>
      <c r="H52" s="11" t="s">
        <v>159</v>
      </c>
      <c r="I52" s="11" t="s">
        <v>24</v>
      </c>
      <c r="J52" s="11" t="s">
        <v>25</v>
      </c>
      <c r="K52" s="11">
        <v>11</v>
      </c>
      <c r="L52" s="11" t="s">
        <v>56</v>
      </c>
      <c r="M52" s="11"/>
      <c r="N52" s="14" t="s">
        <v>26</v>
      </c>
    </row>
    <row r="53" spans="1:14" x14ac:dyDescent="0.2">
      <c r="A53" s="10"/>
      <c r="B53" s="11" t="s">
        <v>12</v>
      </c>
      <c r="C53" s="11" t="s">
        <v>27</v>
      </c>
      <c r="D53" s="11">
        <v>100</v>
      </c>
      <c r="E53" s="7" t="s">
        <v>199</v>
      </c>
      <c r="F53" s="13">
        <v>43306</v>
      </c>
      <c r="G53" s="13" t="s">
        <v>60</v>
      </c>
      <c r="H53" s="11" t="s">
        <v>159</v>
      </c>
      <c r="I53" s="11" t="s">
        <v>24</v>
      </c>
      <c r="J53" s="11" t="s">
        <v>25</v>
      </c>
      <c r="K53" s="11">
        <v>11</v>
      </c>
      <c r="L53" s="11" t="s">
        <v>56</v>
      </c>
      <c r="M53" s="11"/>
      <c r="N53" s="14" t="s">
        <v>28</v>
      </c>
    </row>
    <row r="54" spans="1:14" x14ac:dyDescent="0.2">
      <c r="A54" s="10"/>
      <c r="B54" s="11" t="s">
        <v>12</v>
      </c>
      <c r="C54" s="11" t="s">
        <v>29</v>
      </c>
      <c r="D54" s="11">
        <v>15</v>
      </c>
      <c r="E54" s="7" t="s">
        <v>199</v>
      </c>
      <c r="F54" s="13">
        <v>43306</v>
      </c>
      <c r="G54" s="13" t="s">
        <v>60</v>
      </c>
      <c r="H54" s="11" t="s">
        <v>159</v>
      </c>
      <c r="I54" s="11" t="s">
        <v>24</v>
      </c>
      <c r="J54" s="11" t="s">
        <v>25</v>
      </c>
      <c r="K54" s="11">
        <v>11</v>
      </c>
      <c r="L54" s="11" t="s">
        <v>56</v>
      </c>
      <c r="M54" s="11"/>
      <c r="N54" s="14" t="s">
        <v>30</v>
      </c>
    </row>
    <row r="55" spans="1:14" x14ac:dyDescent="0.2">
      <c r="A55" s="10"/>
      <c r="B55" s="11" t="s">
        <v>92</v>
      </c>
      <c r="C55" s="11" t="s">
        <v>109</v>
      </c>
      <c r="D55" s="11">
        <v>6</v>
      </c>
      <c r="E55" s="7" t="s">
        <v>199</v>
      </c>
      <c r="F55" s="13">
        <v>43306</v>
      </c>
      <c r="G55" s="13" t="s">
        <v>60</v>
      </c>
      <c r="H55" s="11" t="s">
        <v>159</v>
      </c>
      <c r="I55" s="11" t="s">
        <v>24</v>
      </c>
      <c r="J55" s="11" t="s">
        <v>25</v>
      </c>
      <c r="K55" s="11">
        <v>11</v>
      </c>
      <c r="L55" s="11" t="s">
        <v>56</v>
      </c>
      <c r="M55" s="11"/>
      <c r="N55" s="14" t="s">
        <v>110</v>
      </c>
    </row>
    <row r="56" spans="1:14" x14ac:dyDescent="0.2">
      <c r="A56" s="10"/>
      <c r="B56" s="11" t="s">
        <v>12</v>
      </c>
      <c r="C56" s="11" t="s">
        <v>31</v>
      </c>
      <c r="D56" s="11">
        <v>7</v>
      </c>
      <c r="E56" s="7" t="s">
        <v>199</v>
      </c>
      <c r="F56" s="13">
        <v>43306</v>
      </c>
      <c r="G56" s="13" t="s">
        <v>60</v>
      </c>
      <c r="H56" s="11" t="s">
        <v>159</v>
      </c>
      <c r="I56" s="11" t="s">
        <v>24</v>
      </c>
      <c r="J56" s="11" t="s">
        <v>25</v>
      </c>
      <c r="K56" s="11">
        <v>11</v>
      </c>
      <c r="L56" s="11" t="s">
        <v>56</v>
      </c>
      <c r="M56" s="11"/>
      <c r="N56" s="14" t="s">
        <v>32</v>
      </c>
    </row>
    <row r="57" spans="1:14" x14ac:dyDescent="0.2">
      <c r="A57" s="10">
        <v>4701367456</v>
      </c>
      <c r="B57" s="11" t="s">
        <v>33</v>
      </c>
      <c r="C57" s="11" t="s">
        <v>34</v>
      </c>
      <c r="D57" s="11">
        <v>40</v>
      </c>
      <c r="E57" s="7" t="s">
        <v>199</v>
      </c>
      <c r="F57" s="13">
        <v>43306</v>
      </c>
      <c r="G57" s="13" t="s">
        <v>60</v>
      </c>
      <c r="H57" s="11" t="s">
        <v>159</v>
      </c>
      <c r="I57" s="11" t="s">
        <v>24</v>
      </c>
      <c r="J57" s="11" t="s">
        <v>25</v>
      </c>
      <c r="K57" s="11">
        <v>11</v>
      </c>
      <c r="L57" s="11" t="s">
        <v>56</v>
      </c>
      <c r="M57" s="11"/>
      <c r="N57" s="14" t="s">
        <v>35</v>
      </c>
    </row>
    <row r="58" spans="1:14" x14ac:dyDescent="0.2">
      <c r="A58" s="10"/>
      <c r="B58" s="11" t="s">
        <v>33</v>
      </c>
      <c r="C58" s="11" t="s">
        <v>36</v>
      </c>
      <c r="D58" s="11">
        <v>30</v>
      </c>
      <c r="E58" s="7" t="s">
        <v>199</v>
      </c>
      <c r="F58" s="13">
        <v>43306</v>
      </c>
      <c r="G58" s="13" t="s">
        <v>60</v>
      </c>
      <c r="H58" s="11" t="s">
        <v>159</v>
      </c>
      <c r="I58" s="11" t="s">
        <v>24</v>
      </c>
      <c r="J58" s="11" t="s">
        <v>25</v>
      </c>
      <c r="K58" s="11">
        <v>11</v>
      </c>
      <c r="L58" s="11" t="s">
        <v>56</v>
      </c>
      <c r="M58" s="11"/>
      <c r="N58" s="14" t="s">
        <v>37</v>
      </c>
    </row>
    <row r="59" spans="1:14" x14ac:dyDescent="0.2">
      <c r="A59" s="10">
        <v>4701367457</v>
      </c>
      <c r="B59" s="11" t="s">
        <v>12</v>
      </c>
      <c r="C59" s="11" t="s">
        <v>44</v>
      </c>
      <c r="D59" s="11">
        <v>30</v>
      </c>
      <c r="E59" s="7" t="s">
        <v>199</v>
      </c>
      <c r="F59" s="13">
        <v>43306</v>
      </c>
      <c r="G59" s="13" t="s">
        <v>60</v>
      </c>
      <c r="H59" s="11" t="s">
        <v>159</v>
      </c>
      <c r="I59" s="11" t="s">
        <v>16</v>
      </c>
      <c r="J59" s="11" t="s">
        <v>17</v>
      </c>
      <c r="K59" s="11">
        <v>11</v>
      </c>
      <c r="L59" s="11" t="s">
        <v>56</v>
      </c>
      <c r="M59" s="11"/>
      <c r="N59" s="14" t="s">
        <v>45</v>
      </c>
    </row>
    <row r="60" spans="1:14" x14ac:dyDescent="0.2">
      <c r="A60" s="10"/>
      <c r="B60" s="11" t="s">
        <v>12</v>
      </c>
      <c r="C60" s="11" t="s">
        <v>47</v>
      </c>
      <c r="D60" s="11">
        <v>15</v>
      </c>
      <c r="E60" s="7" t="s">
        <v>199</v>
      </c>
      <c r="F60" s="13">
        <v>43306</v>
      </c>
      <c r="G60" s="13" t="s">
        <v>60</v>
      </c>
      <c r="H60" s="11" t="s">
        <v>159</v>
      </c>
      <c r="I60" s="11" t="s">
        <v>16</v>
      </c>
      <c r="J60" s="11" t="s">
        <v>17</v>
      </c>
      <c r="K60" s="11">
        <v>11</v>
      </c>
      <c r="L60" s="11" t="s">
        <v>56</v>
      </c>
      <c r="M60" s="11"/>
      <c r="N60" s="17" t="s">
        <v>48</v>
      </c>
    </row>
    <row r="61" spans="1:14" x14ac:dyDescent="0.2">
      <c r="A61" s="10"/>
      <c r="B61" s="11" t="s">
        <v>12</v>
      </c>
      <c r="C61" s="11" t="s">
        <v>38</v>
      </c>
      <c r="D61" s="11">
        <v>48</v>
      </c>
      <c r="E61" s="7" t="s">
        <v>199</v>
      </c>
      <c r="F61" s="13">
        <v>43306</v>
      </c>
      <c r="G61" s="13" t="s">
        <v>60</v>
      </c>
      <c r="H61" s="11" t="s">
        <v>159</v>
      </c>
      <c r="I61" s="11" t="s">
        <v>16</v>
      </c>
      <c r="J61" s="11" t="s">
        <v>17</v>
      </c>
      <c r="K61" s="11">
        <v>11</v>
      </c>
      <c r="L61" s="11" t="s">
        <v>56</v>
      </c>
      <c r="M61" s="11"/>
      <c r="N61" s="18" t="s">
        <v>39</v>
      </c>
    </row>
    <row r="62" spans="1:14" x14ac:dyDescent="0.2">
      <c r="A62" s="10"/>
      <c r="B62" s="11" t="s">
        <v>12</v>
      </c>
      <c r="C62" s="11" t="s">
        <v>19</v>
      </c>
      <c r="D62" s="11">
        <v>250</v>
      </c>
      <c r="E62" s="7" t="s">
        <v>199</v>
      </c>
      <c r="F62" s="13">
        <v>43306</v>
      </c>
      <c r="G62" s="13" t="s">
        <v>60</v>
      </c>
      <c r="H62" s="11" t="s">
        <v>159</v>
      </c>
      <c r="I62" s="11" t="s">
        <v>16</v>
      </c>
      <c r="J62" s="11" t="s">
        <v>17</v>
      </c>
      <c r="K62" s="11">
        <v>11</v>
      </c>
      <c r="L62" s="11" t="s">
        <v>56</v>
      </c>
      <c r="M62" s="11"/>
      <c r="N62" s="14" t="s">
        <v>20</v>
      </c>
    </row>
    <row r="63" spans="1:14" x14ac:dyDescent="0.2">
      <c r="A63" s="10"/>
      <c r="B63" s="11" t="s">
        <v>12</v>
      </c>
      <c r="C63" s="11" t="s">
        <v>65</v>
      </c>
      <c r="D63" s="11">
        <v>11</v>
      </c>
      <c r="E63" s="7" t="s">
        <v>199</v>
      </c>
      <c r="F63" s="13">
        <v>43306</v>
      </c>
      <c r="G63" s="13" t="s">
        <v>60</v>
      </c>
      <c r="H63" s="11" t="s">
        <v>159</v>
      </c>
      <c r="I63" s="11" t="s">
        <v>16</v>
      </c>
      <c r="J63" s="11" t="s">
        <v>17</v>
      </c>
      <c r="K63" s="11">
        <v>11</v>
      </c>
      <c r="L63" s="11" t="s">
        <v>56</v>
      </c>
      <c r="M63" s="11"/>
      <c r="N63" s="14" t="s">
        <v>66</v>
      </c>
    </row>
    <row r="64" spans="1:14" x14ac:dyDescent="0.2">
      <c r="A64" s="10"/>
      <c r="B64" s="11" t="s">
        <v>12</v>
      </c>
      <c r="C64" s="11" t="s">
        <v>42</v>
      </c>
      <c r="D64" s="11">
        <v>60</v>
      </c>
      <c r="E64" s="7" t="s">
        <v>199</v>
      </c>
      <c r="F64" s="13">
        <v>43306</v>
      </c>
      <c r="G64" s="13" t="s">
        <v>60</v>
      </c>
      <c r="H64" s="11" t="s">
        <v>159</v>
      </c>
      <c r="I64" s="11" t="s">
        <v>16</v>
      </c>
      <c r="J64" s="11" t="s">
        <v>17</v>
      </c>
      <c r="K64" s="11">
        <v>11</v>
      </c>
      <c r="L64" s="11" t="s">
        <v>56</v>
      </c>
      <c r="M64" s="11"/>
      <c r="N64" s="14" t="s">
        <v>43</v>
      </c>
    </row>
    <row r="65" spans="1:14" x14ac:dyDescent="0.2">
      <c r="A65" s="10">
        <v>4701367458</v>
      </c>
      <c r="B65" s="11" t="s">
        <v>12</v>
      </c>
      <c r="C65" s="11" t="s">
        <v>27</v>
      </c>
      <c r="D65" s="11">
        <v>120</v>
      </c>
      <c r="E65" s="7" t="s">
        <v>199</v>
      </c>
      <c r="F65" s="13">
        <v>43306</v>
      </c>
      <c r="G65" s="13" t="s">
        <v>63</v>
      </c>
      <c r="H65" s="11" t="s">
        <v>174</v>
      </c>
      <c r="I65" s="11" t="s">
        <v>24</v>
      </c>
      <c r="J65" s="11" t="s">
        <v>25</v>
      </c>
      <c r="K65" s="11">
        <v>12</v>
      </c>
      <c r="L65" s="11" t="s">
        <v>56</v>
      </c>
      <c r="M65" s="11" t="s">
        <v>64</v>
      </c>
      <c r="N65" s="14" t="s">
        <v>28</v>
      </c>
    </row>
    <row r="66" spans="1:14" x14ac:dyDescent="0.2">
      <c r="A66" s="10"/>
      <c r="B66" s="11" t="s">
        <v>92</v>
      </c>
      <c r="C66" s="11" t="s">
        <v>109</v>
      </c>
      <c r="D66" s="11">
        <v>30</v>
      </c>
      <c r="E66" s="7" t="s">
        <v>199</v>
      </c>
      <c r="F66" s="13">
        <v>43306</v>
      </c>
      <c r="G66" s="13" t="s">
        <v>63</v>
      </c>
      <c r="H66" s="11" t="s">
        <v>174</v>
      </c>
      <c r="I66" s="11" t="s">
        <v>24</v>
      </c>
      <c r="J66" s="11" t="s">
        <v>25</v>
      </c>
      <c r="K66" s="11">
        <v>12</v>
      </c>
      <c r="L66" s="11" t="s">
        <v>56</v>
      </c>
      <c r="M66" s="11" t="s">
        <v>64</v>
      </c>
      <c r="N66" s="14" t="s">
        <v>110</v>
      </c>
    </row>
    <row r="67" spans="1:14" x14ac:dyDescent="0.2">
      <c r="A67" s="10">
        <v>4701367459</v>
      </c>
      <c r="B67" s="11" t="s">
        <v>33</v>
      </c>
      <c r="C67" s="11" t="s">
        <v>34</v>
      </c>
      <c r="D67" s="11">
        <v>30</v>
      </c>
      <c r="E67" s="7" t="s">
        <v>199</v>
      </c>
      <c r="F67" s="13">
        <v>43306</v>
      </c>
      <c r="G67" s="13" t="s">
        <v>63</v>
      </c>
      <c r="H67" s="11" t="s">
        <v>174</v>
      </c>
      <c r="I67" s="11" t="s">
        <v>24</v>
      </c>
      <c r="J67" s="11" t="s">
        <v>25</v>
      </c>
      <c r="K67" s="11">
        <v>12</v>
      </c>
      <c r="L67" s="11" t="s">
        <v>56</v>
      </c>
      <c r="M67" s="11" t="s">
        <v>64</v>
      </c>
      <c r="N67" s="14" t="s">
        <v>35</v>
      </c>
    </row>
    <row r="68" spans="1:14" x14ac:dyDescent="0.2">
      <c r="A68" s="10"/>
      <c r="B68" s="11" t="s">
        <v>33</v>
      </c>
      <c r="C68" s="11" t="s">
        <v>36</v>
      </c>
      <c r="D68" s="11">
        <v>30</v>
      </c>
      <c r="E68" s="7" t="s">
        <v>199</v>
      </c>
      <c r="F68" s="13">
        <v>43306</v>
      </c>
      <c r="G68" s="13" t="s">
        <v>63</v>
      </c>
      <c r="H68" s="11" t="s">
        <v>174</v>
      </c>
      <c r="I68" s="11" t="s">
        <v>24</v>
      </c>
      <c r="J68" s="11" t="s">
        <v>25</v>
      </c>
      <c r="K68" s="11">
        <v>12</v>
      </c>
      <c r="L68" s="11" t="s">
        <v>56</v>
      </c>
      <c r="M68" s="11" t="s">
        <v>64</v>
      </c>
      <c r="N68" s="14" t="s">
        <v>37</v>
      </c>
    </row>
    <row r="69" spans="1:14" x14ac:dyDescent="0.2">
      <c r="A69" s="10">
        <v>4701367460</v>
      </c>
      <c r="B69" s="11" t="s">
        <v>12</v>
      </c>
      <c r="C69" s="11" t="s">
        <v>47</v>
      </c>
      <c r="D69" s="11">
        <v>10</v>
      </c>
      <c r="E69" s="7" t="s">
        <v>199</v>
      </c>
      <c r="F69" s="13">
        <v>43306</v>
      </c>
      <c r="G69" s="13" t="s">
        <v>63</v>
      </c>
      <c r="H69" s="11" t="s">
        <v>174</v>
      </c>
      <c r="I69" s="11" t="s">
        <v>16</v>
      </c>
      <c r="J69" s="11" t="s">
        <v>17</v>
      </c>
      <c r="K69" s="11">
        <v>12</v>
      </c>
      <c r="L69" s="11" t="s">
        <v>56</v>
      </c>
      <c r="M69" s="11" t="s">
        <v>64</v>
      </c>
      <c r="N69" s="14" t="s">
        <v>48</v>
      </c>
    </row>
    <row r="70" spans="1:14" x14ac:dyDescent="0.2">
      <c r="A70" s="10"/>
      <c r="B70" s="11" t="s">
        <v>12</v>
      </c>
      <c r="C70" s="11" t="s">
        <v>19</v>
      </c>
      <c r="D70" s="11">
        <v>240</v>
      </c>
      <c r="E70" s="7" t="s">
        <v>199</v>
      </c>
      <c r="F70" s="13">
        <v>43306</v>
      </c>
      <c r="G70" s="13" t="s">
        <v>63</v>
      </c>
      <c r="H70" s="11" t="s">
        <v>174</v>
      </c>
      <c r="I70" s="11" t="s">
        <v>16</v>
      </c>
      <c r="J70" s="11" t="s">
        <v>17</v>
      </c>
      <c r="K70" s="11">
        <v>12</v>
      </c>
      <c r="L70" s="11" t="s">
        <v>56</v>
      </c>
      <c r="M70" s="11" t="s">
        <v>64</v>
      </c>
      <c r="N70" s="14" t="s">
        <v>20</v>
      </c>
    </row>
    <row r="71" spans="1:14" x14ac:dyDescent="0.2">
      <c r="A71" s="10">
        <v>4701367461</v>
      </c>
      <c r="B71" s="11" t="s">
        <v>12</v>
      </c>
      <c r="C71" s="11" t="s">
        <v>29</v>
      </c>
      <c r="D71" s="11">
        <v>10</v>
      </c>
      <c r="E71" s="7" t="s">
        <v>199</v>
      </c>
      <c r="F71" s="13">
        <v>43306</v>
      </c>
      <c r="G71" s="13" t="s">
        <v>67</v>
      </c>
      <c r="H71" s="11" t="s">
        <v>175</v>
      </c>
      <c r="I71" s="11" t="s">
        <v>24</v>
      </c>
      <c r="J71" s="11" t="s">
        <v>25</v>
      </c>
      <c r="K71" s="11">
        <v>12</v>
      </c>
      <c r="L71" s="11" t="s">
        <v>56</v>
      </c>
      <c r="M71" s="11" t="s">
        <v>64</v>
      </c>
      <c r="N71" s="14" t="s">
        <v>30</v>
      </c>
    </row>
    <row r="72" spans="1:14" x14ac:dyDescent="0.2">
      <c r="A72" s="10"/>
      <c r="B72" s="11" t="s">
        <v>92</v>
      </c>
      <c r="C72" s="11" t="s">
        <v>109</v>
      </c>
      <c r="D72" s="11">
        <v>20</v>
      </c>
      <c r="E72" s="7" t="s">
        <v>199</v>
      </c>
      <c r="F72" s="13">
        <v>43306</v>
      </c>
      <c r="G72" s="13" t="s">
        <v>67</v>
      </c>
      <c r="H72" s="11" t="s">
        <v>175</v>
      </c>
      <c r="I72" s="11" t="s">
        <v>24</v>
      </c>
      <c r="J72" s="11" t="s">
        <v>25</v>
      </c>
      <c r="K72" s="11">
        <v>12</v>
      </c>
      <c r="L72" s="11" t="s">
        <v>56</v>
      </c>
      <c r="M72" s="11" t="s">
        <v>64</v>
      </c>
      <c r="N72" s="14" t="s">
        <v>110</v>
      </c>
    </row>
    <row r="73" spans="1:14" x14ac:dyDescent="0.2">
      <c r="A73" s="10">
        <v>4701367462</v>
      </c>
      <c r="B73" s="11" t="s">
        <v>12</v>
      </c>
      <c r="C73" s="11" t="s">
        <v>47</v>
      </c>
      <c r="D73" s="11">
        <v>2</v>
      </c>
      <c r="E73" s="7" t="s">
        <v>199</v>
      </c>
      <c r="F73" s="13">
        <v>43306</v>
      </c>
      <c r="G73" s="13" t="s">
        <v>67</v>
      </c>
      <c r="H73" s="11" t="s">
        <v>175</v>
      </c>
      <c r="I73" s="11" t="s">
        <v>16</v>
      </c>
      <c r="J73" s="11" t="s">
        <v>17</v>
      </c>
      <c r="K73" s="11">
        <v>12</v>
      </c>
      <c r="L73" s="11" t="s">
        <v>56</v>
      </c>
      <c r="M73" s="11" t="s">
        <v>64</v>
      </c>
      <c r="N73" s="14" t="s">
        <v>48</v>
      </c>
    </row>
    <row r="74" spans="1:14" x14ac:dyDescent="0.2">
      <c r="A74" s="10"/>
      <c r="B74" s="11" t="s">
        <v>12</v>
      </c>
      <c r="C74" s="11" t="s">
        <v>38</v>
      </c>
      <c r="D74" s="11">
        <v>24</v>
      </c>
      <c r="E74" s="7" t="s">
        <v>199</v>
      </c>
      <c r="F74" s="13">
        <v>43306</v>
      </c>
      <c r="G74" s="13" t="s">
        <v>67</v>
      </c>
      <c r="H74" s="11" t="s">
        <v>175</v>
      </c>
      <c r="I74" s="11" t="s">
        <v>16</v>
      </c>
      <c r="J74" s="11" t="s">
        <v>17</v>
      </c>
      <c r="K74" s="11">
        <v>12</v>
      </c>
      <c r="L74" s="11" t="s">
        <v>56</v>
      </c>
      <c r="M74" s="11" t="s">
        <v>64</v>
      </c>
      <c r="N74" s="14" t="s">
        <v>39</v>
      </c>
    </row>
    <row r="75" spans="1:14" x14ac:dyDescent="0.2">
      <c r="A75" s="10"/>
      <c r="B75" s="11" t="s">
        <v>12</v>
      </c>
      <c r="C75" s="11" t="s">
        <v>19</v>
      </c>
      <c r="D75" s="11">
        <v>120</v>
      </c>
      <c r="E75" s="7" t="s">
        <v>199</v>
      </c>
      <c r="F75" s="13">
        <v>43306</v>
      </c>
      <c r="G75" s="13" t="s">
        <v>67</v>
      </c>
      <c r="H75" s="11" t="s">
        <v>175</v>
      </c>
      <c r="I75" s="11" t="s">
        <v>16</v>
      </c>
      <c r="J75" s="11" t="s">
        <v>17</v>
      </c>
      <c r="K75" s="11">
        <v>12</v>
      </c>
      <c r="L75" s="11" t="s">
        <v>56</v>
      </c>
      <c r="M75" s="11" t="s">
        <v>64</v>
      </c>
      <c r="N75" s="14" t="s">
        <v>20</v>
      </c>
    </row>
    <row r="76" spans="1:14" x14ac:dyDescent="0.2">
      <c r="A76" s="10">
        <v>4701367463</v>
      </c>
      <c r="B76" s="11" t="s">
        <v>12</v>
      </c>
      <c r="C76" s="11" t="s">
        <v>27</v>
      </c>
      <c r="D76" s="11">
        <v>120</v>
      </c>
      <c r="E76" s="7" t="s">
        <v>199</v>
      </c>
      <c r="F76" s="13">
        <v>43306</v>
      </c>
      <c r="G76" s="13" t="s">
        <v>68</v>
      </c>
      <c r="H76" s="11" t="s">
        <v>176</v>
      </c>
      <c r="I76" s="11" t="s">
        <v>24</v>
      </c>
      <c r="J76" s="11" t="s">
        <v>25</v>
      </c>
      <c r="K76" s="11">
        <v>13</v>
      </c>
      <c r="L76" s="11" t="s">
        <v>56</v>
      </c>
      <c r="M76" s="11" t="s">
        <v>69</v>
      </c>
      <c r="N76" s="14" t="s">
        <v>28</v>
      </c>
    </row>
    <row r="77" spans="1:14" x14ac:dyDescent="0.2">
      <c r="A77" s="10"/>
      <c r="B77" s="11" t="s">
        <v>12</v>
      </c>
      <c r="C77" s="11" t="s">
        <v>49</v>
      </c>
      <c r="D77" s="11">
        <v>1</v>
      </c>
      <c r="E77" s="7" t="s">
        <v>199</v>
      </c>
      <c r="F77" s="13">
        <v>43306</v>
      </c>
      <c r="G77" s="13" t="s">
        <v>68</v>
      </c>
      <c r="H77" s="11" t="s">
        <v>176</v>
      </c>
      <c r="I77" s="11" t="s">
        <v>24</v>
      </c>
      <c r="J77" s="11" t="s">
        <v>25</v>
      </c>
      <c r="K77" s="11">
        <v>13</v>
      </c>
      <c r="L77" s="11" t="s">
        <v>56</v>
      </c>
      <c r="M77" s="11" t="s">
        <v>69</v>
      </c>
      <c r="N77" s="14" t="s">
        <v>50</v>
      </c>
    </row>
    <row r="78" spans="1:14" x14ac:dyDescent="0.2">
      <c r="A78" s="10">
        <v>4701367464</v>
      </c>
      <c r="B78" s="11" t="s">
        <v>33</v>
      </c>
      <c r="C78" s="11" t="s">
        <v>34</v>
      </c>
      <c r="D78" s="11">
        <v>25</v>
      </c>
      <c r="E78" s="7" t="s">
        <v>199</v>
      </c>
      <c r="F78" s="13">
        <v>43306</v>
      </c>
      <c r="G78" s="13" t="s">
        <v>68</v>
      </c>
      <c r="H78" s="11" t="s">
        <v>176</v>
      </c>
      <c r="I78" s="11" t="s">
        <v>24</v>
      </c>
      <c r="J78" s="11" t="s">
        <v>25</v>
      </c>
      <c r="K78" s="11">
        <v>13</v>
      </c>
      <c r="L78" s="11" t="s">
        <v>56</v>
      </c>
      <c r="M78" s="11" t="s">
        <v>69</v>
      </c>
      <c r="N78" s="14" t="s">
        <v>35</v>
      </c>
    </row>
    <row r="79" spans="1:14" x14ac:dyDescent="0.2">
      <c r="A79" s="10"/>
      <c r="B79" s="11" t="s">
        <v>33</v>
      </c>
      <c r="C79" s="11" t="s">
        <v>36</v>
      </c>
      <c r="D79" s="11">
        <v>20</v>
      </c>
      <c r="E79" s="7" t="s">
        <v>199</v>
      </c>
      <c r="F79" s="13">
        <v>43306</v>
      </c>
      <c r="G79" s="13" t="s">
        <v>68</v>
      </c>
      <c r="H79" s="11" t="s">
        <v>176</v>
      </c>
      <c r="I79" s="11" t="s">
        <v>24</v>
      </c>
      <c r="J79" s="11" t="s">
        <v>25</v>
      </c>
      <c r="K79" s="11">
        <v>13</v>
      </c>
      <c r="L79" s="11" t="s">
        <v>56</v>
      </c>
      <c r="M79" s="11" t="s">
        <v>69</v>
      </c>
      <c r="N79" s="14" t="s">
        <v>37</v>
      </c>
    </row>
    <row r="80" spans="1:14" x14ac:dyDescent="0.2">
      <c r="A80" s="10">
        <v>4701367465</v>
      </c>
      <c r="B80" s="11" t="s">
        <v>12</v>
      </c>
      <c r="C80" s="11" t="s">
        <v>47</v>
      </c>
      <c r="D80" s="11">
        <v>10</v>
      </c>
      <c r="E80" s="7" t="s">
        <v>199</v>
      </c>
      <c r="F80" s="13">
        <v>43306</v>
      </c>
      <c r="G80" s="13" t="s">
        <v>68</v>
      </c>
      <c r="H80" s="11" t="s">
        <v>176</v>
      </c>
      <c r="I80" s="11" t="s">
        <v>16</v>
      </c>
      <c r="J80" s="11" t="s">
        <v>17</v>
      </c>
      <c r="K80" s="11">
        <v>13</v>
      </c>
      <c r="L80" s="11" t="s">
        <v>56</v>
      </c>
      <c r="M80" s="11" t="s">
        <v>69</v>
      </c>
      <c r="N80" s="14" t="s">
        <v>48</v>
      </c>
    </row>
    <row r="81" spans="1:15" x14ac:dyDescent="0.2">
      <c r="A81" s="10"/>
      <c r="B81" s="11" t="s">
        <v>12</v>
      </c>
      <c r="C81" s="11" t="s">
        <v>19</v>
      </c>
      <c r="D81" s="11">
        <v>250</v>
      </c>
      <c r="E81" s="7" t="s">
        <v>199</v>
      </c>
      <c r="F81" s="13">
        <v>43306</v>
      </c>
      <c r="G81" s="13" t="s">
        <v>68</v>
      </c>
      <c r="H81" s="11" t="s">
        <v>176</v>
      </c>
      <c r="I81" s="11" t="s">
        <v>16</v>
      </c>
      <c r="J81" s="11" t="s">
        <v>17</v>
      </c>
      <c r="K81" s="11">
        <v>13</v>
      </c>
      <c r="L81" s="11" t="s">
        <v>56</v>
      </c>
      <c r="M81" s="11" t="s">
        <v>69</v>
      </c>
      <c r="N81" s="14" t="s">
        <v>20</v>
      </c>
    </row>
    <row r="82" spans="1:15" x14ac:dyDescent="0.2">
      <c r="A82" s="10"/>
      <c r="B82" s="11" t="s">
        <v>12</v>
      </c>
      <c r="C82" s="11" t="s">
        <v>65</v>
      </c>
      <c r="D82" s="11">
        <v>15</v>
      </c>
      <c r="E82" s="7" t="s">
        <v>199</v>
      </c>
      <c r="F82" s="13">
        <v>43306</v>
      </c>
      <c r="G82" s="13" t="s">
        <v>68</v>
      </c>
      <c r="H82" s="11" t="s">
        <v>176</v>
      </c>
      <c r="I82" s="11" t="s">
        <v>16</v>
      </c>
      <c r="J82" s="11" t="s">
        <v>17</v>
      </c>
      <c r="K82" s="11">
        <v>13</v>
      </c>
      <c r="L82" s="11" t="s">
        <v>56</v>
      </c>
      <c r="M82" s="11" t="s">
        <v>69</v>
      </c>
      <c r="N82" s="14" t="s">
        <v>66</v>
      </c>
    </row>
    <row r="83" spans="1:15" x14ac:dyDescent="0.2">
      <c r="A83" s="10"/>
      <c r="B83" s="17" t="s">
        <v>12</v>
      </c>
      <c r="C83" s="11" t="s">
        <v>42</v>
      </c>
      <c r="D83" s="11">
        <v>90</v>
      </c>
      <c r="E83" s="7" t="s">
        <v>199</v>
      </c>
      <c r="F83" s="13">
        <v>43306</v>
      </c>
      <c r="G83" s="13" t="s">
        <v>68</v>
      </c>
      <c r="H83" s="11" t="s">
        <v>176</v>
      </c>
      <c r="I83" s="11" t="s">
        <v>16</v>
      </c>
      <c r="J83" s="11" t="s">
        <v>17</v>
      </c>
      <c r="K83" s="11">
        <v>13</v>
      </c>
      <c r="L83" s="11" t="s">
        <v>56</v>
      </c>
      <c r="M83" s="11" t="s">
        <v>69</v>
      </c>
      <c r="N83" s="14" t="s">
        <v>43</v>
      </c>
    </row>
    <row r="84" spans="1:15" x14ac:dyDescent="0.2">
      <c r="A84" s="23">
        <v>4701367466</v>
      </c>
      <c r="B84" s="17" t="s">
        <v>12</v>
      </c>
      <c r="C84" s="11" t="s">
        <v>21</v>
      </c>
      <c r="D84" s="11">
        <v>20</v>
      </c>
      <c r="E84" s="7" t="s">
        <v>199</v>
      </c>
      <c r="F84" s="13">
        <v>43306</v>
      </c>
      <c r="G84" s="13" t="s">
        <v>70</v>
      </c>
      <c r="H84" s="11" t="s">
        <v>177</v>
      </c>
      <c r="I84" s="11" t="s">
        <v>24</v>
      </c>
      <c r="J84" s="11" t="s">
        <v>25</v>
      </c>
      <c r="K84" s="11">
        <v>13</v>
      </c>
      <c r="L84" s="11" t="s">
        <v>56</v>
      </c>
      <c r="M84" s="11" t="s">
        <v>69</v>
      </c>
      <c r="N84" s="14" t="s">
        <v>26</v>
      </c>
    </row>
    <row r="85" spans="1:15" x14ac:dyDescent="0.2">
      <c r="A85" s="23"/>
      <c r="B85" s="17" t="s">
        <v>12</v>
      </c>
      <c r="C85" s="11" t="s">
        <v>29</v>
      </c>
      <c r="D85" s="11">
        <v>8</v>
      </c>
      <c r="E85" s="7" t="s">
        <v>199</v>
      </c>
      <c r="F85" s="13">
        <v>43306</v>
      </c>
      <c r="G85" s="13" t="s">
        <v>70</v>
      </c>
      <c r="H85" s="11" t="s">
        <v>177</v>
      </c>
      <c r="I85" s="11" t="s">
        <v>24</v>
      </c>
      <c r="J85" s="11" t="s">
        <v>25</v>
      </c>
      <c r="K85" s="11">
        <v>13</v>
      </c>
      <c r="L85" s="11" t="s">
        <v>56</v>
      </c>
      <c r="M85" s="11" t="s">
        <v>69</v>
      </c>
      <c r="N85" s="14" t="s">
        <v>30</v>
      </c>
    </row>
    <row r="86" spans="1:15" x14ac:dyDescent="0.2">
      <c r="A86" s="8">
        <v>4701367467</v>
      </c>
      <c r="B86" s="17" t="s">
        <v>33</v>
      </c>
      <c r="C86" s="17" t="s">
        <v>36</v>
      </c>
      <c r="D86" s="8">
        <v>5</v>
      </c>
      <c r="E86" s="7" t="s">
        <v>199</v>
      </c>
      <c r="F86" s="13">
        <v>43306</v>
      </c>
      <c r="G86" s="8" t="s">
        <v>70</v>
      </c>
      <c r="H86" s="8" t="s">
        <v>177</v>
      </c>
      <c r="I86" s="8" t="s">
        <v>24</v>
      </c>
      <c r="J86" s="8" t="s">
        <v>25</v>
      </c>
      <c r="K86" s="8">
        <v>13</v>
      </c>
      <c r="L86" s="8" t="s">
        <v>56</v>
      </c>
      <c r="M86" s="8" t="s">
        <v>69</v>
      </c>
      <c r="N86" s="8" t="s">
        <v>37</v>
      </c>
      <c r="O86" s="8"/>
    </row>
    <row r="87" spans="1:15" x14ac:dyDescent="0.2">
      <c r="A87" s="10"/>
      <c r="B87" s="17" t="s">
        <v>33</v>
      </c>
      <c r="C87" s="11" t="s">
        <v>53</v>
      </c>
      <c r="D87" s="11">
        <v>7</v>
      </c>
      <c r="E87" s="7" t="s">
        <v>199</v>
      </c>
      <c r="F87" s="13">
        <v>43306</v>
      </c>
      <c r="G87" s="13" t="s">
        <v>70</v>
      </c>
      <c r="H87" s="11" t="s">
        <v>177</v>
      </c>
      <c r="I87" s="11" t="s">
        <v>24</v>
      </c>
      <c r="J87" s="11" t="s">
        <v>25</v>
      </c>
      <c r="K87" s="11">
        <v>13</v>
      </c>
      <c r="L87" s="11" t="s">
        <v>56</v>
      </c>
      <c r="M87" s="11" t="s">
        <v>69</v>
      </c>
      <c r="N87" s="14" t="s">
        <v>54</v>
      </c>
    </row>
    <row r="88" spans="1:15" x14ac:dyDescent="0.2">
      <c r="A88" s="10">
        <v>4701367468</v>
      </c>
      <c r="B88" s="11" t="s">
        <v>12</v>
      </c>
      <c r="C88" s="11" t="s">
        <v>47</v>
      </c>
      <c r="D88" s="11">
        <v>6</v>
      </c>
      <c r="E88" s="7" t="s">
        <v>199</v>
      </c>
      <c r="F88" s="13">
        <v>43306</v>
      </c>
      <c r="G88" s="13" t="s">
        <v>70</v>
      </c>
      <c r="H88" s="11" t="s">
        <v>177</v>
      </c>
      <c r="I88" s="11" t="s">
        <v>16</v>
      </c>
      <c r="J88" s="11" t="s">
        <v>17</v>
      </c>
      <c r="K88" s="11">
        <v>13</v>
      </c>
      <c r="L88" s="11" t="s">
        <v>56</v>
      </c>
      <c r="M88" s="11" t="s">
        <v>69</v>
      </c>
      <c r="N88" s="14" t="s">
        <v>48</v>
      </c>
    </row>
    <row r="89" spans="1:15" x14ac:dyDescent="0.2">
      <c r="A89" s="10"/>
      <c r="B89" s="11" t="s">
        <v>12</v>
      </c>
      <c r="C89" s="11" t="s">
        <v>19</v>
      </c>
      <c r="D89" s="11">
        <v>75</v>
      </c>
      <c r="E89" s="7" t="s">
        <v>199</v>
      </c>
      <c r="F89" s="13">
        <v>43306</v>
      </c>
      <c r="G89" s="13" t="s">
        <v>70</v>
      </c>
      <c r="H89" s="11" t="s">
        <v>177</v>
      </c>
      <c r="I89" s="11" t="s">
        <v>16</v>
      </c>
      <c r="J89" s="11" t="s">
        <v>17</v>
      </c>
      <c r="K89" s="11">
        <v>13</v>
      </c>
      <c r="L89" s="11" t="s">
        <v>56</v>
      </c>
      <c r="M89" s="11" t="s">
        <v>69</v>
      </c>
      <c r="N89" s="14" t="s">
        <v>20</v>
      </c>
    </row>
    <row r="90" spans="1:15" x14ac:dyDescent="0.2">
      <c r="A90" s="10">
        <v>4701367469</v>
      </c>
      <c r="B90" s="11" t="s">
        <v>12</v>
      </c>
      <c r="C90" s="11" t="s">
        <v>29</v>
      </c>
      <c r="D90" s="11">
        <v>5</v>
      </c>
      <c r="E90" s="7" t="s">
        <v>199</v>
      </c>
      <c r="F90" s="13">
        <v>43306</v>
      </c>
      <c r="G90" s="13" t="s">
        <v>71</v>
      </c>
      <c r="H90" s="11" t="s">
        <v>178</v>
      </c>
      <c r="I90" s="11" t="s">
        <v>24</v>
      </c>
      <c r="J90" s="11" t="s">
        <v>25</v>
      </c>
      <c r="K90" s="11">
        <v>14</v>
      </c>
      <c r="L90" s="11" t="s">
        <v>56</v>
      </c>
      <c r="M90" s="11" t="s">
        <v>72</v>
      </c>
      <c r="N90" s="14" t="s">
        <v>30</v>
      </c>
    </row>
    <row r="91" spans="1:15" x14ac:dyDescent="0.2">
      <c r="A91" s="10"/>
      <c r="B91" s="11" t="s">
        <v>12</v>
      </c>
      <c r="C91" s="11" t="s">
        <v>49</v>
      </c>
      <c r="D91" s="11">
        <v>9</v>
      </c>
      <c r="E91" s="7" t="s">
        <v>199</v>
      </c>
      <c r="F91" s="13">
        <v>43306</v>
      </c>
      <c r="G91" s="13" t="s">
        <v>71</v>
      </c>
      <c r="H91" s="11" t="s">
        <v>178</v>
      </c>
      <c r="I91" s="11" t="s">
        <v>24</v>
      </c>
      <c r="J91" s="11" t="s">
        <v>25</v>
      </c>
      <c r="K91" s="11">
        <v>14</v>
      </c>
      <c r="L91" s="11" t="s">
        <v>56</v>
      </c>
      <c r="M91" s="11" t="s">
        <v>72</v>
      </c>
      <c r="N91" s="14" t="s">
        <v>50</v>
      </c>
    </row>
    <row r="92" spans="1:15" x14ac:dyDescent="0.2">
      <c r="A92" s="10">
        <v>4701367470</v>
      </c>
      <c r="B92" s="11" t="s">
        <v>33</v>
      </c>
      <c r="C92" s="11" t="s">
        <v>36</v>
      </c>
      <c r="D92" s="11">
        <v>35</v>
      </c>
      <c r="E92" s="7" t="s">
        <v>199</v>
      </c>
      <c r="F92" s="13">
        <v>43306</v>
      </c>
      <c r="G92" s="13" t="s">
        <v>71</v>
      </c>
      <c r="H92" s="11" t="s">
        <v>178</v>
      </c>
      <c r="I92" s="11" t="s">
        <v>24</v>
      </c>
      <c r="J92" s="11" t="s">
        <v>25</v>
      </c>
      <c r="K92" s="11">
        <v>14</v>
      </c>
      <c r="L92" s="11" t="s">
        <v>56</v>
      </c>
      <c r="M92" s="11" t="s">
        <v>72</v>
      </c>
      <c r="N92" s="14" t="s">
        <v>37</v>
      </c>
    </row>
    <row r="93" spans="1:15" x14ac:dyDescent="0.2">
      <c r="A93" s="10"/>
      <c r="B93" s="11" t="s">
        <v>33</v>
      </c>
      <c r="C93" s="11" t="s">
        <v>53</v>
      </c>
      <c r="D93" s="11">
        <v>3</v>
      </c>
      <c r="E93" s="7" t="s">
        <v>199</v>
      </c>
      <c r="F93" s="13">
        <v>43306</v>
      </c>
      <c r="G93" s="13" t="s">
        <v>71</v>
      </c>
      <c r="H93" s="11" t="s">
        <v>178</v>
      </c>
      <c r="I93" s="11" t="s">
        <v>24</v>
      </c>
      <c r="J93" s="11" t="s">
        <v>25</v>
      </c>
      <c r="K93" s="11">
        <v>14</v>
      </c>
      <c r="L93" s="11" t="s">
        <v>56</v>
      </c>
      <c r="M93" s="11" t="s">
        <v>72</v>
      </c>
      <c r="N93" s="14" t="s">
        <v>54</v>
      </c>
    </row>
    <row r="94" spans="1:15" x14ac:dyDescent="0.2">
      <c r="A94" s="10">
        <v>4701367471</v>
      </c>
      <c r="B94" s="11" t="s">
        <v>12</v>
      </c>
      <c r="C94" s="11" t="s">
        <v>44</v>
      </c>
      <c r="D94" s="11">
        <v>19</v>
      </c>
      <c r="E94" s="7" t="s">
        <v>199</v>
      </c>
      <c r="F94" s="13">
        <v>43306</v>
      </c>
      <c r="G94" s="13" t="s">
        <v>71</v>
      </c>
      <c r="H94" s="11" t="s">
        <v>178</v>
      </c>
      <c r="I94" s="11" t="s">
        <v>16</v>
      </c>
      <c r="J94" s="11" t="s">
        <v>17</v>
      </c>
      <c r="K94" s="11">
        <v>14</v>
      </c>
      <c r="L94" s="11" t="s">
        <v>56</v>
      </c>
      <c r="M94" s="11" t="s">
        <v>72</v>
      </c>
      <c r="N94" s="14" t="s">
        <v>45</v>
      </c>
    </row>
    <row r="95" spans="1:15" x14ac:dyDescent="0.2">
      <c r="A95" s="10"/>
      <c r="B95" s="11" t="s">
        <v>12</v>
      </c>
      <c r="C95" s="11" t="s">
        <v>19</v>
      </c>
      <c r="D95" s="11">
        <v>160</v>
      </c>
      <c r="E95" s="7" t="s">
        <v>199</v>
      </c>
      <c r="F95" s="13">
        <v>43306</v>
      </c>
      <c r="G95" s="13" t="s">
        <v>71</v>
      </c>
      <c r="H95" s="11" t="s">
        <v>178</v>
      </c>
      <c r="I95" s="11" t="s">
        <v>16</v>
      </c>
      <c r="J95" s="11" t="s">
        <v>17</v>
      </c>
      <c r="K95" s="11">
        <v>14</v>
      </c>
      <c r="L95" s="11" t="s">
        <v>56</v>
      </c>
      <c r="M95" s="11" t="s">
        <v>72</v>
      </c>
      <c r="N95" s="14" t="s">
        <v>20</v>
      </c>
    </row>
    <row r="96" spans="1:15" x14ac:dyDescent="0.2">
      <c r="A96" s="10"/>
      <c r="B96" s="11" t="s">
        <v>12</v>
      </c>
      <c r="C96" s="11" t="s">
        <v>42</v>
      </c>
      <c r="D96" s="11">
        <v>120</v>
      </c>
      <c r="E96" s="7" t="s">
        <v>199</v>
      </c>
      <c r="F96" s="13">
        <v>43306</v>
      </c>
      <c r="G96" s="13" t="s">
        <v>71</v>
      </c>
      <c r="H96" s="11" t="s">
        <v>178</v>
      </c>
      <c r="I96" s="11" t="s">
        <v>16</v>
      </c>
      <c r="J96" s="11" t="s">
        <v>17</v>
      </c>
      <c r="K96" s="11">
        <v>14</v>
      </c>
      <c r="L96" s="11" t="s">
        <v>56</v>
      </c>
      <c r="M96" s="11" t="s">
        <v>72</v>
      </c>
      <c r="N96" s="14" t="s">
        <v>43</v>
      </c>
    </row>
    <row r="97" spans="1:14" x14ac:dyDescent="0.2">
      <c r="A97" s="10">
        <v>4701367472</v>
      </c>
      <c r="B97" s="11" t="s">
        <v>92</v>
      </c>
      <c r="C97" s="11" t="s">
        <v>96</v>
      </c>
      <c r="D97" s="11">
        <v>30</v>
      </c>
      <c r="E97" s="7" t="s">
        <v>199</v>
      </c>
      <c r="F97" s="13">
        <v>43306</v>
      </c>
      <c r="G97" s="13" t="s">
        <v>73</v>
      </c>
      <c r="H97" s="11" t="s">
        <v>74</v>
      </c>
      <c r="I97" s="11" t="s">
        <v>24</v>
      </c>
      <c r="J97" s="11" t="s">
        <v>25</v>
      </c>
      <c r="K97" s="11">
        <v>14</v>
      </c>
      <c r="L97" s="11" t="s">
        <v>56</v>
      </c>
      <c r="M97" s="11" t="s">
        <v>72</v>
      </c>
      <c r="N97" s="14" t="s">
        <v>97</v>
      </c>
    </row>
    <row r="98" spans="1:14" x14ac:dyDescent="0.2">
      <c r="A98" s="10"/>
      <c r="B98" s="11" t="s">
        <v>12</v>
      </c>
      <c r="C98" s="11" t="s">
        <v>49</v>
      </c>
      <c r="D98" s="11">
        <v>17</v>
      </c>
      <c r="E98" s="7" t="s">
        <v>199</v>
      </c>
      <c r="F98" s="13">
        <v>43306</v>
      </c>
      <c r="G98" s="13" t="s">
        <v>73</v>
      </c>
      <c r="H98" s="11" t="s">
        <v>74</v>
      </c>
      <c r="I98" s="11" t="s">
        <v>24</v>
      </c>
      <c r="J98" s="11" t="s">
        <v>25</v>
      </c>
      <c r="K98" s="11">
        <v>14</v>
      </c>
      <c r="L98" s="11" t="s">
        <v>56</v>
      </c>
      <c r="M98" s="11" t="s">
        <v>72</v>
      </c>
      <c r="N98" s="14" t="s">
        <v>50</v>
      </c>
    </row>
    <row r="99" spans="1:14" x14ac:dyDescent="0.2">
      <c r="A99" s="10">
        <v>4701367473</v>
      </c>
      <c r="B99" s="11" t="s">
        <v>33</v>
      </c>
      <c r="C99" s="11" t="s">
        <v>36</v>
      </c>
      <c r="D99" s="11">
        <v>30</v>
      </c>
      <c r="E99" s="7" t="s">
        <v>199</v>
      </c>
      <c r="F99" s="13">
        <v>43306</v>
      </c>
      <c r="G99" s="13" t="s">
        <v>73</v>
      </c>
      <c r="H99" s="11" t="s">
        <v>74</v>
      </c>
      <c r="I99" s="11" t="s">
        <v>24</v>
      </c>
      <c r="J99" s="11" t="s">
        <v>25</v>
      </c>
      <c r="K99" s="11">
        <v>14</v>
      </c>
      <c r="L99" s="11" t="s">
        <v>56</v>
      </c>
      <c r="M99" s="11" t="s">
        <v>72</v>
      </c>
      <c r="N99" s="14" t="s">
        <v>37</v>
      </c>
    </row>
    <row r="100" spans="1:14" x14ac:dyDescent="0.2">
      <c r="A100" s="10"/>
      <c r="B100" s="11" t="s">
        <v>33</v>
      </c>
      <c r="C100" s="11" t="s">
        <v>53</v>
      </c>
      <c r="D100" s="11">
        <v>1</v>
      </c>
      <c r="E100" s="7" t="s">
        <v>199</v>
      </c>
      <c r="F100" s="13">
        <v>43306</v>
      </c>
      <c r="G100" s="13" t="s">
        <v>73</v>
      </c>
      <c r="H100" s="11" t="s">
        <v>74</v>
      </c>
      <c r="I100" s="11" t="s">
        <v>24</v>
      </c>
      <c r="J100" s="11" t="s">
        <v>25</v>
      </c>
      <c r="K100" s="11">
        <v>14</v>
      </c>
      <c r="L100" s="11" t="s">
        <v>56</v>
      </c>
      <c r="M100" s="11" t="s">
        <v>72</v>
      </c>
      <c r="N100" s="14" t="s">
        <v>54</v>
      </c>
    </row>
    <row r="101" spans="1:14" x14ac:dyDescent="0.2">
      <c r="A101" s="10">
        <v>4701367474</v>
      </c>
      <c r="B101" s="11" t="s">
        <v>12</v>
      </c>
      <c r="C101" s="11" t="s">
        <v>47</v>
      </c>
      <c r="D101" s="11">
        <v>6</v>
      </c>
      <c r="E101" s="7" t="s">
        <v>199</v>
      </c>
      <c r="F101" s="13">
        <v>43306</v>
      </c>
      <c r="G101" s="13" t="s">
        <v>73</v>
      </c>
      <c r="H101" s="11" t="s">
        <v>74</v>
      </c>
      <c r="I101" s="11" t="s">
        <v>16</v>
      </c>
      <c r="J101" s="11" t="s">
        <v>17</v>
      </c>
      <c r="K101" s="11">
        <v>14</v>
      </c>
      <c r="L101" s="11" t="s">
        <v>56</v>
      </c>
      <c r="M101" s="11" t="s">
        <v>72</v>
      </c>
      <c r="N101" s="14" t="s">
        <v>48</v>
      </c>
    </row>
    <row r="102" spans="1:14" x14ac:dyDescent="0.2">
      <c r="A102" s="10"/>
      <c r="B102" s="11" t="s">
        <v>12</v>
      </c>
      <c r="C102" s="11" t="s">
        <v>19</v>
      </c>
      <c r="D102" s="11">
        <v>140</v>
      </c>
      <c r="E102" s="7" t="s">
        <v>199</v>
      </c>
      <c r="F102" s="13">
        <v>43306</v>
      </c>
      <c r="G102" s="13" t="s">
        <v>73</v>
      </c>
      <c r="H102" s="11" t="s">
        <v>74</v>
      </c>
      <c r="I102" s="11" t="s">
        <v>16</v>
      </c>
      <c r="J102" s="11" t="s">
        <v>17</v>
      </c>
      <c r="K102" s="11">
        <v>14</v>
      </c>
      <c r="L102" s="11" t="s">
        <v>56</v>
      </c>
      <c r="M102" s="11" t="s">
        <v>72</v>
      </c>
      <c r="N102" s="14" t="s">
        <v>20</v>
      </c>
    </row>
    <row r="103" spans="1:14" x14ac:dyDescent="0.2">
      <c r="A103" s="10"/>
      <c r="B103" s="11" t="s">
        <v>12</v>
      </c>
      <c r="C103" s="11" t="s">
        <v>42</v>
      </c>
      <c r="D103" s="11">
        <v>140</v>
      </c>
      <c r="E103" s="7" t="s">
        <v>199</v>
      </c>
      <c r="F103" s="13">
        <v>43306</v>
      </c>
      <c r="G103" s="13" t="s">
        <v>73</v>
      </c>
      <c r="H103" s="11" t="s">
        <v>74</v>
      </c>
      <c r="I103" s="11" t="s">
        <v>16</v>
      </c>
      <c r="J103" s="11" t="s">
        <v>17</v>
      </c>
      <c r="K103" s="11">
        <v>14</v>
      </c>
      <c r="L103" s="11" t="s">
        <v>56</v>
      </c>
      <c r="M103" s="11" t="s">
        <v>72</v>
      </c>
      <c r="N103" s="14" t="s">
        <v>43</v>
      </c>
    </row>
    <row r="104" spans="1:14" x14ac:dyDescent="0.2">
      <c r="A104" s="10">
        <v>4701367475</v>
      </c>
      <c r="B104" s="11" t="s">
        <v>12</v>
      </c>
      <c r="C104" s="11" t="s">
        <v>21</v>
      </c>
      <c r="D104" s="11">
        <v>100</v>
      </c>
      <c r="E104" s="7" t="s">
        <v>199</v>
      </c>
      <c r="F104" s="13">
        <v>43306</v>
      </c>
      <c r="G104" s="13" t="s">
        <v>75</v>
      </c>
      <c r="H104" s="11" t="s">
        <v>160</v>
      </c>
      <c r="I104" s="11" t="s">
        <v>24</v>
      </c>
      <c r="J104" s="11" t="s">
        <v>25</v>
      </c>
      <c r="K104" s="11">
        <v>15</v>
      </c>
      <c r="L104" s="11" t="s">
        <v>56</v>
      </c>
      <c r="M104" s="11"/>
      <c r="N104" s="14" t="s">
        <v>26</v>
      </c>
    </row>
    <row r="105" spans="1:14" x14ac:dyDescent="0.2">
      <c r="A105" s="10"/>
      <c r="B105" s="11" t="s">
        <v>12</v>
      </c>
      <c r="C105" s="11" t="s">
        <v>29</v>
      </c>
      <c r="D105" s="11">
        <v>28</v>
      </c>
      <c r="E105" s="7" t="s">
        <v>199</v>
      </c>
      <c r="F105" s="13">
        <v>43306</v>
      </c>
      <c r="G105" s="13" t="s">
        <v>75</v>
      </c>
      <c r="H105" s="11" t="s">
        <v>160</v>
      </c>
      <c r="I105" s="11" t="s">
        <v>24</v>
      </c>
      <c r="J105" s="11" t="s">
        <v>25</v>
      </c>
      <c r="K105" s="11">
        <v>15</v>
      </c>
      <c r="L105" s="11" t="s">
        <v>56</v>
      </c>
      <c r="M105" s="11"/>
      <c r="N105" s="14" t="s">
        <v>30</v>
      </c>
    </row>
    <row r="106" spans="1:14" x14ac:dyDescent="0.2">
      <c r="A106" s="10">
        <v>4701367476</v>
      </c>
      <c r="B106" s="11" t="s">
        <v>12</v>
      </c>
      <c r="C106" s="11" t="s">
        <v>76</v>
      </c>
      <c r="D106" s="11">
        <v>75</v>
      </c>
      <c r="E106" s="7" t="s">
        <v>199</v>
      </c>
      <c r="F106" s="13">
        <v>43306</v>
      </c>
      <c r="G106" s="13" t="s">
        <v>75</v>
      </c>
      <c r="H106" s="11" t="s">
        <v>160</v>
      </c>
      <c r="I106" s="11" t="s">
        <v>16</v>
      </c>
      <c r="J106" s="11" t="s">
        <v>17</v>
      </c>
      <c r="K106" s="11">
        <v>15</v>
      </c>
      <c r="L106" s="11" t="s">
        <v>56</v>
      </c>
      <c r="M106" s="11"/>
      <c r="N106" s="14" t="s">
        <v>77</v>
      </c>
    </row>
    <row r="107" spans="1:14" x14ac:dyDescent="0.2">
      <c r="A107" s="10"/>
      <c r="B107" s="11" t="s">
        <v>12</v>
      </c>
      <c r="C107" s="11" t="s">
        <v>78</v>
      </c>
      <c r="D107" s="11">
        <v>509</v>
      </c>
      <c r="E107" s="7" t="s">
        <v>199</v>
      </c>
      <c r="F107" s="13">
        <v>43306</v>
      </c>
      <c r="G107" s="13" t="s">
        <v>75</v>
      </c>
      <c r="H107" s="11" t="s">
        <v>160</v>
      </c>
      <c r="I107" s="11" t="s">
        <v>16</v>
      </c>
      <c r="J107" s="11" t="s">
        <v>17</v>
      </c>
      <c r="K107" s="11">
        <v>15</v>
      </c>
      <c r="L107" s="11" t="s">
        <v>56</v>
      </c>
      <c r="M107" s="11"/>
      <c r="N107" s="14" t="s">
        <v>79</v>
      </c>
    </row>
    <row r="108" spans="1:14" x14ac:dyDescent="0.2">
      <c r="A108" s="10">
        <v>4701367477</v>
      </c>
      <c r="B108" s="11" t="s">
        <v>12</v>
      </c>
      <c r="C108" s="11" t="s">
        <v>44</v>
      </c>
      <c r="D108" s="11">
        <v>30</v>
      </c>
      <c r="E108" s="7" t="s">
        <v>199</v>
      </c>
      <c r="F108" s="13">
        <v>43306</v>
      </c>
      <c r="G108" s="13" t="s">
        <v>81</v>
      </c>
      <c r="H108" s="11" t="s">
        <v>161</v>
      </c>
      <c r="I108" s="11" t="s">
        <v>16</v>
      </c>
      <c r="J108" s="11" t="s">
        <v>17</v>
      </c>
      <c r="K108" s="11">
        <v>16</v>
      </c>
      <c r="L108" s="11" t="s">
        <v>198</v>
      </c>
      <c r="M108" s="11"/>
      <c r="N108" s="14" t="s">
        <v>45</v>
      </c>
    </row>
    <row r="109" spans="1:14" x14ac:dyDescent="0.2">
      <c r="A109" s="10"/>
      <c r="B109" s="11" t="s">
        <v>12</v>
      </c>
      <c r="C109" s="11" t="s">
        <v>13</v>
      </c>
      <c r="D109" s="11">
        <v>20</v>
      </c>
      <c r="E109" s="7" t="s">
        <v>199</v>
      </c>
      <c r="F109" s="13">
        <v>43306</v>
      </c>
      <c r="G109" s="13" t="s">
        <v>81</v>
      </c>
      <c r="H109" s="11" t="s">
        <v>161</v>
      </c>
      <c r="I109" s="11" t="s">
        <v>16</v>
      </c>
      <c r="J109" s="11" t="s">
        <v>17</v>
      </c>
      <c r="K109" s="11">
        <v>16</v>
      </c>
      <c r="L109" s="11" t="s">
        <v>198</v>
      </c>
      <c r="M109" s="11"/>
      <c r="N109" s="14" t="s">
        <v>18</v>
      </c>
    </row>
    <row r="110" spans="1:14" x14ac:dyDescent="0.2">
      <c r="A110" s="10"/>
      <c r="B110" s="11" t="s">
        <v>12</v>
      </c>
      <c r="C110" s="11" t="s">
        <v>57</v>
      </c>
      <c r="D110" s="11">
        <v>2</v>
      </c>
      <c r="E110" s="7" t="s">
        <v>199</v>
      </c>
      <c r="F110" s="13">
        <v>43306</v>
      </c>
      <c r="G110" s="13" t="s">
        <v>81</v>
      </c>
      <c r="H110" s="11" t="s">
        <v>161</v>
      </c>
      <c r="I110" s="11" t="s">
        <v>16</v>
      </c>
      <c r="J110" s="11" t="s">
        <v>17</v>
      </c>
      <c r="K110" s="11">
        <v>16</v>
      </c>
      <c r="L110" s="11" t="s">
        <v>198</v>
      </c>
      <c r="M110" s="11"/>
      <c r="N110" s="14" t="s">
        <v>58</v>
      </c>
    </row>
    <row r="111" spans="1:14" x14ac:dyDescent="0.2">
      <c r="A111" s="10"/>
      <c r="B111" s="11" t="s">
        <v>12</v>
      </c>
      <c r="C111" s="11" t="s">
        <v>78</v>
      </c>
      <c r="D111" s="11">
        <v>170</v>
      </c>
      <c r="E111" s="7" t="s">
        <v>199</v>
      </c>
      <c r="F111" s="13">
        <v>43306</v>
      </c>
      <c r="G111" s="13" t="s">
        <v>81</v>
      </c>
      <c r="H111" s="11" t="s">
        <v>161</v>
      </c>
      <c r="I111" s="11" t="s">
        <v>16</v>
      </c>
      <c r="J111" s="11" t="s">
        <v>17</v>
      </c>
      <c r="K111" s="11">
        <v>16</v>
      </c>
      <c r="L111" s="11" t="s">
        <v>198</v>
      </c>
      <c r="M111" s="11"/>
      <c r="N111" s="14" t="s">
        <v>79</v>
      </c>
    </row>
    <row r="112" spans="1:14" x14ac:dyDescent="0.2">
      <c r="A112" s="10">
        <v>4701367478</v>
      </c>
      <c r="B112" s="11" t="s">
        <v>12</v>
      </c>
      <c r="C112" s="11" t="s">
        <v>21</v>
      </c>
      <c r="D112" s="11">
        <v>100</v>
      </c>
      <c r="E112" s="7" t="s">
        <v>199</v>
      </c>
      <c r="F112" s="13">
        <v>43306</v>
      </c>
      <c r="G112" s="13" t="s">
        <v>83</v>
      </c>
      <c r="H112" s="11" t="s">
        <v>84</v>
      </c>
      <c r="I112" s="11" t="s">
        <v>24</v>
      </c>
      <c r="J112" s="11" t="s">
        <v>25</v>
      </c>
      <c r="K112" s="11">
        <v>17</v>
      </c>
      <c r="L112" s="11" t="s">
        <v>196</v>
      </c>
      <c r="M112" s="11"/>
      <c r="N112" s="14" t="s">
        <v>26</v>
      </c>
    </row>
    <row r="113" spans="1:14" x14ac:dyDescent="0.2">
      <c r="A113" s="10"/>
      <c r="B113" s="11" t="s">
        <v>12</v>
      </c>
      <c r="C113" s="11" t="s">
        <v>29</v>
      </c>
      <c r="D113" s="11">
        <v>27</v>
      </c>
      <c r="E113" s="7" t="s">
        <v>199</v>
      </c>
      <c r="F113" s="13">
        <v>43306</v>
      </c>
      <c r="G113" s="13" t="s">
        <v>83</v>
      </c>
      <c r="H113" s="11" t="s">
        <v>84</v>
      </c>
      <c r="I113" s="11" t="s">
        <v>24</v>
      </c>
      <c r="J113" s="11" t="s">
        <v>25</v>
      </c>
      <c r="K113" s="11">
        <v>17</v>
      </c>
      <c r="L113" s="11" t="s">
        <v>196</v>
      </c>
      <c r="M113" s="11"/>
      <c r="N113" s="14" t="s">
        <v>30</v>
      </c>
    </row>
    <row r="114" spans="1:14" x14ac:dyDescent="0.2">
      <c r="A114" s="10"/>
      <c r="B114" s="11" t="s">
        <v>92</v>
      </c>
      <c r="C114" s="11" t="s">
        <v>93</v>
      </c>
      <c r="D114" s="11">
        <v>13</v>
      </c>
      <c r="E114" s="7" t="s">
        <v>199</v>
      </c>
      <c r="F114" s="13">
        <v>43306</v>
      </c>
      <c r="G114" s="13" t="s">
        <v>83</v>
      </c>
      <c r="H114" s="11" t="s">
        <v>84</v>
      </c>
      <c r="I114" s="11" t="s">
        <v>24</v>
      </c>
      <c r="J114" s="11" t="s">
        <v>25</v>
      </c>
      <c r="K114" s="11">
        <v>17</v>
      </c>
      <c r="L114" s="11" t="s">
        <v>196</v>
      </c>
      <c r="M114" s="11"/>
      <c r="N114" s="14" t="s">
        <v>95</v>
      </c>
    </row>
    <row r="115" spans="1:14" x14ac:dyDescent="0.2">
      <c r="A115" s="10">
        <v>4701367479</v>
      </c>
      <c r="B115" s="11" t="s">
        <v>12</v>
      </c>
      <c r="C115" s="11" t="s">
        <v>44</v>
      </c>
      <c r="D115" s="11">
        <v>24</v>
      </c>
      <c r="E115" s="7" t="s">
        <v>199</v>
      </c>
      <c r="F115" s="13">
        <v>43306</v>
      </c>
      <c r="G115" s="13" t="s">
        <v>83</v>
      </c>
      <c r="H115" s="11" t="s">
        <v>84</v>
      </c>
      <c r="I115" s="11" t="s">
        <v>16</v>
      </c>
      <c r="J115" s="11" t="s">
        <v>17</v>
      </c>
      <c r="K115" s="11">
        <v>17</v>
      </c>
      <c r="L115" s="11" t="s">
        <v>196</v>
      </c>
      <c r="M115" s="11"/>
      <c r="N115" s="14" t="s">
        <v>45</v>
      </c>
    </row>
    <row r="116" spans="1:14" x14ac:dyDescent="0.2">
      <c r="A116" s="10"/>
      <c r="B116" s="11" t="s">
        <v>12</v>
      </c>
      <c r="C116" s="11" t="s">
        <v>13</v>
      </c>
      <c r="D116" s="11">
        <v>50</v>
      </c>
      <c r="E116" s="12" t="s">
        <v>199</v>
      </c>
      <c r="F116" s="13">
        <v>43306</v>
      </c>
      <c r="G116" s="13" t="s">
        <v>83</v>
      </c>
      <c r="H116" s="11" t="s">
        <v>84</v>
      </c>
      <c r="I116" s="11" t="s">
        <v>16</v>
      </c>
      <c r="J116" s="11" t="s">
        <v>17</v>
      </c>
      <c r="K116" s="11">
        <v>17</v>
      </c>
      <c r="L116" s="11" t="s">
        <v>196</v>
      </c>
      <c r="M116" s="11"/>
      <c r="N116" s="14" t="s">
        <v>18</v>
      </c>
    </row>
    <row r="117" spans="1:14" x14ac:dyDescent="0.2">
      <c r="A117" s="10"/>
      <c r="B117" s="11" t="s">
        <v>12</v>
      </c>
      <c r="C117" s="11" t="s">
        <v>76</v>
      </c>
      <c r="D117" s="11">
        <v>38</v>
      </c>
      <c r="E117" s="7" t="s">
        <v>199</v>
      </c>
      <c r="F117" s="13">
        <v>43306</v>
      </c>
      <c r="G117" s="13" t="s">
        <v>83</v>
      </c>
      <c r="H117" s="11" t="s">
        <v>84</v>
      </c>
      <c r="I117" s="11" t="s">
        <v>16</v>
      </c>
      <c r="J117" s="11" t="s">
        <v>17</v>
      </c>
      <c r="K117" s="11">
        <v>17</v>
      </c>
      <c r="L117" s="11" t="s">
        <v>196</v>
      </c>
      <c r="M117" s="11"/>
      <c r="N117" s="14" t="s">
        <v>77</v>
      </c>
    </row>
    <row r="118" spans="1:14" x14ac:dyDescent="0.2">
      <c r="A118" s="10"/>
      <c r="B118" s="11" t="s">
        <v>12</v>
      </c>
      <c r="C118" s="11" t="s">
        <v>78</v>
      </c>
      <c r="D118" s="11">
        <v>210</v>
      </c>
      <c r="E118" s="7" t="s">
        <v>199</v>
      </c>
      <c r="F118" s="13">
        <v>43306</v>
      </c>
      <c r="G118" s="13" t="s">
        <v>83</v>
      </c>
      <c r="H118" s="11" t="s">
        <v>84</v>
      </c>
      <c r="I118" s="11" t="s">
        <v>16</v>
      </c>
      <c r="J118" s="11" t="s">
        <v>17</v>
      </c>
      <c r="K118" s="11">
        <v>17</v>
      </c>
      <c r="L118" s="11" t="s">
        <v>196</v>
      </c>
      <c r="M118" s="11"/>
      <c r="N118" s="14" t="s">
        <v>79</v>
      </c>
    </row>
    <row r="119" spans="1:14" x14ac:dyDescent="0.2">
      <c r="A119" s="10">
        <v>4701367480</v>
      </c>
      <c r="B119" s="11" t="s">
        <v>12</v>
      </c>
      <c r="C119" s="11" t="s">
        <v>21</v>
      </c>
      <c r="D119" s="11">
        <v>155</v>
      </c>
      <c r="E119" s="7" t="s">
        <v>199</v>
      </c>
      <c r="F119" s="13">
        <v>43306</v>
      </c>
      <c r="G119" s="13" t="s">
        <v>85</v>
      </c>
      <c r="H119" s="11" t="s">
        <v>162</v>
      </c>
      <c r="I119" s="11" t="s">
        <v>24</v>
      </c>
      <c r="J119" s="11" t="s">
        <v>25</v>
      </c>
      <c r="K119" s="11">
        <v>18</v>
      </c>
      <c r="L119" s="11" t="s">
        <v>196</v>
      </c>
      <c r="M119" s="11"/>
      <c r="N119" s="14" t="s">
        <v>26</v>
      </c>
    </row>
    <row r="120" spans="1:14" x14ac:dyDescent="0.2">
      <c r="A120" s="10"/>
      <c r="B120" s="11" t="s">
        <v>12</v>
      </c>
      <c r="C120" s="11" t="s">
        <v>29</v>
      </c>
      <c r="D120" s="11">
        <v>19</v>
      </c>
      <c r="E120" s="7" t="s">
        <v>199</v>
      </c>
      <c r="F120" s="13">
        <v>43306</v>
      </c>
      <c r="G120" s="13" t="s">
        <v>85</v>
      </c>
      <c r="H120" s="11" t="s">
        <v>162</v>
      </c>
      <c r="I120" s="11" t="s">
        <v>24</v>
      </c>
      <c r="J120" s="11" t="s">
        <v>25</v>
      </c>
      <c r="K120" s="11">
        <v>18</v>
      </c>
      <c r="L120" s="11" t="s">
        <v>196</v>
      </c>
      <c r="M120" s="11"/>
      <c r="N120" s="14" t="s">
        <v>30</v>
      </c>
    </row>
    <row r="121" spans="1:14" x14ac:dyDescent="0.2">
      <c r="A121" s="10"/>
      <c r="B121" s="11" t="s">
        <v>92</v>
      </c>
      <c r="C121" s="11" t="s">
        <v>93</v>
      </c>
      <c r="D121" s="11">
        <v>19</v>
      </c>
      <c r="E121" s="7" t="s">
        <v>199</v>
      </c>
      <c r="F121" s="13">
        <v>43306</v>
      </c>
      <c r="G121" s="13" t="s">
        <v>85</v>
      </c>
      <c r="H121" s="11" t="s">
        <v>162</v>
      </c>
      <c r="I121" s="11" t="s">
        <v>24</v>
      </c>
      <c r="J121" s="11" t="s">
        <v>25</v>
      </c>
      <c r="K121" s="11">
        <v>18</v>
      </c>
      <c r="L121" s="11" t="s">
        <v>196</v>
      </c>
      <c r="M121" s="11"/>
      <c r="N121" s="14" t="s">
        <v>95</v>
      </c>
    </row>
    <row r="122" spans="1:14" x14ac:dyDescent="0.2">
      <c r="A122" s="10">
        <v>4701367481</v>
      </c>
      <c r="B122" s="11" t="s">
        <v>12</v>
      </c>
      <c r="C122" s="11" t="s">
        <v>44</v>
      </c>
      <c r="D122" s="11">
        <v>90</v>
      </c>
      <c r="E122" s="7" t="s">
        <v>199</v>
      </c>
      <c r="F122" s="13">
        <v>43306</v>
      </c>
      <c r="G122" s="13" t="s">
        <v>85</v>
      </c>
      <c r="H122" s="11" t="s">
        <v>162</v>
      </c>
      <c r="I122" s="11" t="s">
        <v>16</v>
      </c>
      <c r="J122" s="11" t="s">
        <v>17</v>
      </c>
      <c r="K122" s="11">
        <v>18</v>
      </c>
      <c r="L122" s="11" t="s">
        <v>196</v>
      </c>
      <c r="M122" s="11"/>
      <c r="N122" s="14" t="s">
        <v>45</v>
      </c>
    </row>
    <row r="123" spans="1:14" x14ac:dyDescent="0.2">
      <c r="A123" s="10"/>
      <c r="B123" s="11" t="s">
        <v>12</v>
      </c>
      <c r="C123" s="11" t="s">
        <v>13</v>
      </c>
      <c r="D123" s="11">
        <v>100</v>
      </c>
      <c r="E123" s="7" t="s">
        <v>199</v>
      </c>
      <c r="F123" s="13">
        <v>43306</v>
      </c>
      <c r="G123" s="13" t="s">
        <v>85</v>
      </c>
      <c r="H123" s="11" t="s">
        <v>162</v>
      </c>
      <c r="I123" s="11" t="s">
        <v>16</v>
      </c>
      <c r="J123" s="11" t="s">
        <v>17</v>
      </c>
      <c r="K123" s="11">
        <v>18</v>
      </c>
      <c r="L123" s="11" t="s">
        <v>196</v>
      </c>
      <c r="M123" s="11"/>
      <c r="N123" s="14" t="s">
        <v>18</v>
      </c>
    </row>
    <row r="124" spans="1:14" x14ac:dyDescent="0.2">
      <c r="A124" s="10"/>
      <c r="B124" s="11" t="s">
        <v>12</v>
      </c>
      <c r="C124" s="11" t="s">
        <v>80</v>
      </c>
      <c r="D124" s="11">
        <v>43</v>
      </c>
      <c r="E124" s="7" t="s">
        <v>199</v>
      </c>
      <c r="F124" s="13">
        <v>43306</v>
      </c>
      <c r="G124" s="13" t="s">
        <v>85</v>
      </c>
      <c r="H124" s="11" t="s">
        <v>162</v>
      </c>
      <c r="I124" s="11" t="s">
        <v>16</v>
      </c>
      <c r="J124" s="11" t="s">
        <v>17</v>
      </c>
      <c r="K124" s="11">
        <v>18</v>
      </c>
      <c r="L124" s="11" t="s">
        <v>196</v>
      </c>
      <c r="M124" s="11"/>
      <c r="N124" s="14" t="s">
        <v>82</v>
      </c>
    </row>
    <row r="125" spans="1:14" x14ac:dyDescent="0.2">
      <c r="A125" s="10">
        <v>4701367482</v>
      </c>
      <c r="B125" s="11" t="s">
        <v>12</v>
      </c>
      <c r="C125" s="11" t="s">
        <v>21</v>
      </c>
      <c r="D125" s="11">
        <v>30</v>
      </c>
      <c r="E125" s="7" t="s">
        <v>199</v>
      </c>
      <c r="F125" s="13">
        <v>43306</v>
      </c>
      <c r="G125" s="13" t="s">
        <v>86</v>
      </c>
      <c r="H125" s="11" t="s">
        <v>163</v>
      </c>
      <c r="I125" s="11" t="s">
        <v>24</v>
      </c>
      <c r="J125" s="11" t="s">
        <v>25</v>
      </c>
      <c r="K125" s="11">
        <v>19</v>
      </c>
      <c r="L125" s="11" t="s">
        <v>196</v>
      </c>
      <c r="M125" s="11" t="s">
        <v>87</v>
      </c>
      <c r="N125" s="14" t="s">
        <v>26</v>
      </c>
    </row>
    <row r="126" spans="1:14" x14ac:dyDescent="0.2">
      <c r="A126" s="10"/>
      <c r="B126" s="11" t="s">
        <v>12</v>
      </c>
      <c r="C126" s="11" t="s">
        <v>29</v>
      </c>
      <c r="D126" s="11">
        <v>6</v>
      </c>
      <c r="E126" s="7" t="s">
        <v>199</v>
      </c>
      <c r="F126" s="13">
        <v>43306</v>
      </c>
      <c r="G126" s="13" t="s">
        <v>86</v>
      </c>
      <c r="H126" s="11" t="s">
        <v>163</v>
      </c>
      <c r="I126" s="11" t="s">
        <v>24</v>
      </c>
      <c r="J126" s="11" t="s">
        <v>25</v>
      </c>
      <c r="K126" s="11">
        <v>19</v>
      </c>
      <c r="L126" s="11" t="s">
        <v>196</v>
      </c>
      <c r="M126" s="11" t="s">
        <v>87</v>
      </c>
      <c r="N126" s="14" t="s">
        <v>30</v>
      </c>
    </row>
    <row r="127" spans="1:14" x14ac:dyDescent="0.2">
      <c r="A127" s="10">
        <v>4701367483</v>
      </c>
      <c r="B127" s="11" t="s">
        <v>12</v>
      </c>
      <c r="C127" s="11" t="s">
        <v>44</v>
      </c>
      <c r="D127" s="11">
        <v>23</v>
      </c>
      <c r="E127" s="7" t="s">
        <v>199</v>
      </c>
      <c r="F127" s="13">
        <v>43306</v>
      </c>
      <c r="G127" s="13" t="s">
        <v>86</v>
      </c>
      <c r="H127" s="11" t="s">
        <v>163</v>
      </c>
      <c r="I127" s="11" t="s">
        <v>16</v>
      </c>
      <c r="J127" s="11" t="s">
        <v>17</v>
      </c>
      <c r="K127" s="11">
        <v>19</v>
      </c>
      <c r="L127" s="11" t="s">
        <v>196</v>
      </c>
      <c r="M127" s="11" t="s">
        <v>87</v>
      </c>
      <c r="N127" s="14" t="s">
        <v>45</v>
      </c>
    </row>
    <row r="128" spans="1:14" x14ac:dyDescent="0.2">
      <c r="A128" s="10"/>
      <c r="B128" s="11" t="s">
        <v>12</v>
      </c>
      <c r="C128" s="11" t="s">
        <v>80</v>
      </c>
      <c r="D128" s="11">
        <v>20</v>
      </c>
      <c r="E128" s="7" t="s">
        <v>199</v>
      </c>
      <c r="F128" s="13">
        <v>43306</v>
      </c>
      <c r="G128" s="13" t="s">
        <v>86</v>
      </c>
      <c r="H128" s="11" t="s">
        <v>163</v>
      </c>
      <c r="I128" s="11" t="s">
        <v>16</v>
      </c>
      <c r="J128" s="11" t="s">
        <v>17</v>
      </c>
      <c r="K128" s="11">
        <v>19</v>
      </c>
      <c r="L128" s="11" t="s">
        <v>196</v>
      </c>
      <c r="M128" s="11" t="s">
        <v>87</v>
      </c>
      <c r="N128" s="14" t="s">
        <v>82</v>
      </c>
    </row>
    <row r="129" spans="1:14" x14ac:dyDescent="0.2">
      <c r="A129" s="10">
        <v>4701367484</v>
      </c>
      <c r="B129" s="11" t="s">
        <v>12</v>
      </c>
      <c r="C129" s="11" t="s">
        <v>21</v>
      </c>
      <c r="D129" s="11">
        <v>185</v>
      </c>
      <c r="E129" s="7" t="s">
        <v>199</v>
      </c>
      <c r="F129" s="13">
        <v>43306</v>
      </c>
      <c r="G129" s="13" t="s">
        <v>88</v>
      </c>
      <c r="H129" s="11" t="s">
        <v>179</v>
      </c>
      <c r="I129" s="11" t="s">
        <v>24</v>
      </c>
      <c r="J129" s="11" t="s">
        <v>25</v>
      </c>
      <c r="K129" s="11">
        <v>19</v>
      </c>
      <c r="L129" s="11" t="s">
        <v>196</v>
      </c>
      <c r="M129" s="11" t="s">
        <v>87</v>
      </c>
      <c r="N129" s="14" t="s">
        <v>26</v>
      </c>
    </row>
    <row r="130" spans="1:14" x14ac:dyDescent="0.2">
      <c r="A130" s="10"/>
      <c r="B130" s="11" t="s">
        <v>12</v>
      </c>
      <c r="C130" s="11" t="s">
        <v>29</v>
      </c>
      <c r="D130" s="11">
        <v>22</v>
      </c>
      <c r="E130" s="7" t="s">
        <v>199</v>
      </c>
      <c r="F130" s="13">
        <v>43306</v>
      </c>
      <c r="G130" s="13" t="s">
        <v>88</v>
      </c>
      <c r="H130" s="11" t="s">
        <v>179</v>
      </c>
      <c r="I130" s="11" t="s">
        <v>24</v>
      </c>
      <c r="J130" s="11" t="s">
        <v>25</v>
      </c>
      <c r="K130" s="11">
        <v>19</v>
      </c>
      <c r="L130" s="11" t="s">
        <v>196</v>
      </c>
      <c r="M130" s="11" t="s">
        <v>87</v>
      </c>
      <c r="N130" s="14" t="s">
        <v>30</v>
      </c>
    </row>
    <row r="131" spans="1:14" x14ac:dyDescent="0.2">
      <c r="A131" s="10"/>
      <c r="B131" s="11" t="s">
        <v>92</v>
      </c>
      <c r="C131" s="11" t="s">
        <v>93</v>
      </c>
      <c r="D131" s="11">
        <v>2</v>
      </c>
      <c r="E131" s="7" t="s">
        <v>199</v>
      </c>
      <c r="F131" s="13">
        <v>43306</v>
      </c>
      <c r="G131" s="13" t="s">
        <v>88</v>
      </c>
      <c r="H131" s="11" t="s">
        <v>179</v>
      </c>
      <c r="I131" s="11" t="s">
        <v>24</v>
      </c>
      <c r="J131" s="11" t="s">
        <v>25</v>
      </c>
      <c r="K131" s="11">
        <v>19</v>
      </c>
      <c r="L131" s="11" t="s">
        <v>196</v>
      </c>
      <c r="M131" s="11" t="s">
        <v>87</v>
      </c>
      <c r="N131" s="14" t="s">
        <v>95</v>
      </c>
    </row>
    <row r="132" spans="1:14" x14ac:dyDescent="0.2">
      <c r="A132" s="10">
        <v>4701367485</v>
      </c>
      <c r="B132" s="11" t="s">
        <v>12</v>
      </c>
      <c r="C132" s="11" t="s">
        <v>44</v>
      </c>
      <c r="D132" s="11">
        <v>50</v>
      </c>
      <c r="E132" s="7" t="s">
        <v>199</v>
      </c>
      <c r="F132" s="13">
        <v>43306</v>
      </c>
      <c r="G132" s="13" t="s">
        <v>88</v>
      </c>
      <c r="H132" s="11" t="s">
        <v>179</v>
      </c>
      <c r="I132" s="11" t="s">
        <v>16</v>
      </c>
      <c r="J132" s="11" t="s">
        <v>17</v>
      </c>
      <c r="K132" s="11">
        <v>19</v>
      </c>
      <c r="L132" s="11" t="s">
        <v>196</v>
      </c>
      <c r="M132" s="11" t="s">
        <v>87</v>
      </c>
      <c r="N132" s="14" t="s">
        <v>45</v>
      </c>
    </row>
    <row r="133" spans="1:14" x14ac:dyDescent="0.2">
      <c r="A133" s="10"/>
      <c r="B133" s="11" t="s">
        <v>12</v>
      </c>
      <c r="C133" s="11" t="s">
        <v>13</v>
      </c>
      <c r="D133" s="11">
        <v>50</v>
      </c>
      <c r="E133" s="7" t="s">
        <v>199</v>
      </c>
      <c r="F133" s="13">
        <v>43306</v>
      </c>
      <c r="G133" s="13" t="s">
        <v>88</v>
      </c>
      <c r="H133" s="11" t="s">
        <v>179</v>
      </c>
      <c r="I133" s="11" t="s">
        <v>16</v>
      </c>
      <c r="J133" s="11" t="s">
        <v>17</v>
      </c>
      <c r="K133" s="11">
        <v>19</v>
      </c>
      <c r="L133" s="11" t="s">
        <v>196</v>
      </c>
      <c r="M133" s="11" t="s">
        <v>87</v>
      </c>
      <c r="N133" s="14" t="s">
        <v>18</v>
      </c>
    </row>
    <row r="134" spans="1:14" x14ac:dyDescent="0.2">
      <c r="A134" s="10"/>
      <c r="B134" s="11" t="s">
        <v>12</v>
      </c>
      <c r="C134" s="11" t="s">
        <v>80</v>
      </c>
      <c r="D134" s="11">
        <v>40</v>
      </c>
      <c r="E134" s="7" t="s">
        <v>199</v>
      </c>
      <c r="F134" s="13">
        <v>43306</v>
      </c>
      <c r="G134" s="13" t="s">
        <v>88</v>
      </c>
      <c r="H134" s="11" t="s">
        <v>179</v>
      </c>
      <c r="I134" s="11" t="s">
        <v>16</v>
      </c>
      <c r="J134" s="11" t="s">
        <v>17</v>
      </c>
      <c r="K134" s="11">
        <v>19</v>
      </c>
      <c r="L134" s="11" t="s">
        <v>196</v>
      </c>
      <c r="M134" s="11" t="s">
        <v>87</v>
      </c>
      <c r="N134" s="14" t="s">
        <v>82</v>
      </c>
    </row>
    <row r="135" spans="1:14" x14ac:dyDescent="0.2">
      <c r="A135" s="10">
        <v>4701367488</v>
      </c>
      <c r="B135" s="11" t="s">
        <v>12</v>
      </c>
      <c r="C135" s="11" t="s">
        <v>19</v>
      </c>
      <c r="D135" s="11">
        <v>266</v>
      </c>
      <c r="E135" s="12" t="s">
        <v>199</v>
      </c>
      <c r="F135" s="13">
        <v>43306</v>
      </c>
      <c r="G135" s="13" t="s">
        <v>24</v>
      </c>
      <c r="H135" s="11" t="s">
        <v>25</v>
      </c>
      <c r="I135" s="11" t="s">
        <v>16</v>
      </c>
      <c r="J135" s="11" t="s">
        <v>17</v>
      </c>
      <c r="K135" s="11">
        <v>21</v>
      </c>
      <c r="L135" s="11" t="s">
        <v>196</v>
      </c>
      <c r="M135" s="11" t="s">
        <v>152</v>
      </c>
      <c r="N135" s="14" t="s">
        <v>20</v>
      </c>
    </row>
    <row r="136" spans="1:14" x14ac:dyDescent="0.2">
      <c r="A136" s="10"/>
      <c r="B136" s="11" t="s">
        <v>12</v>
      </c>
      <c r="C136" s="11" t="s">
        <v>57</v>
      </c>
      <c r="D136" s="11">
        <v>140</v>
      </c>
      <c r="E136" s="12" t="s">
        <v>199</v>
      </c>
      <c r="F136" s="13">
        <v>43306</v>
      </c>
      <c r="G136" s="13" t="s">
        <v>24</v>
      </c>
      <c r="H136" s="11" t="s">
        <v>25</v>
      </c>
      <c r="I136" s="11" t="s">
        <v>16</v>
      </c>
      <c r="J136" s="11" t="s">
        <v>17</v>
      </c>
      <c r="K136" s="11">
        <v>21</v>
      </c>
      <c r="L136" s="11" t="s">
        <v>196</v>
      </c>
      <c r="M136" s="11"/>
      <c r="N136" s="14" t="s">
        <v>58</v>
      </c>
    </row>
    <row r="137" spans="1:14" x14ac:dyDescent="0.2">
      <c r="A137" s="10"/>
      <c r="B137" s="11" t="s">
        <v>12</v>
      </c>
      <c r="C137" s="11" t="s">
        <v>80</v>
      </c>
      <c r="D137" s="32">
        <f>9-8</f>
        <v>1</v>
      </c>
      <c r="E137" s="12" t="s">
        <v>199</v>
      </c>
      <c r="F137" s="13">
        <v>43306</v>
      </c>
      <c r="G137" s="13" t="s">
        <v>24</v>
      </c>
      <c r="H137" s="11" t="s">
        <v>25</v>
      </c>
      <c r="I137" s="11" t="s">
        <v>16</v>
      </c>
      <c r="J137" s="11" t="s">
        <v>17</v>
      </c>
      <c r="K137" s="11">
        <v>21</v>
      </c>
      <c r="L137" s="11" t="s">
        <v>196</v>
      </c>
      <c r="M137" s="11"/>
      <c r="N137" s="14" t="s">
        <v>82</v>
      </c>
    </row>
    <row r="138" spans="1:14" x14ac:dyDescent="0.2">
      <c r="A138" s="10"/>
      <c r="B138" s="11" t="s">
        <v>12</v>
      </c>
      <c r="C138" s="11" t="s">
        <v>42</v>
      </c>
      <c r="D138" s="11">
        <v>60</v>
      </c>
      <c r="E138" s="12" t="s">
        <v>199</v>
      </c>
      <c r="F138" s="13">
        <v>43306</v>
      </c>
      <c r="G138" s="13" t="s">
        <v>24</v>
      </c>
      <c r="H138" s="11" t="s">
        <v>25</v>
      </c>
      <c r="I138" s="11" t="s">
        <v>16</v>
      </c>
      <c r="J138" s="11" t="s">
        <v>17</v>
      </c>
      <c r="K138" s="11">
        <v>21</v>
      </c>
      <c r="L138" s="11" t="s">
        <v>196</v>
      </c>
      <c r="M138" s="11"/>
      <c r="N138" s="14" t="s">
        <v>43</v>
      </c>
    </row>
    <row r="139" spans="1:14" x14ac:dyDescent="0.2">
      <c r="A139" s="10">
        <v>4701367489</v>
      </c>
      <c r="B139" s="11" t="s">
        <v>12</v>
      </c>
      <c r="C139" s="11" t="s">
        <v>19</v>
      </c>
      <c r="D139" s="11">
        <v>775</v>
      </c>
      <c r="E139" s="12" t="s">
        <v>199</v>
      </c>
      <c r="F139" s="13">
        <v>43306</v>
      </c>
      <c r="G139" s="13" t="s">
        <v>91</v>
      </c>
      <c r="H139" s="11" t="s">
        <v>166</v>
      </c>
      <c r="I139" s="11" t="s">
        <v>16</v>
      </c>
      <c r="J139" s="11" t="s">
        <v>17</v>
      </c>
      <c r="K139" s="11">
        <v>22</v>
      </c>
      <c r="L139" s="11" t="s">
        <v>56</v>
      </c>
      <c r="M139" s="11"/>
      <c r="N139" s="14" t="s">
        <v>20</v>
      </c>
    </row>
    <row r="140" spans="1:14" x14ac:dyDescent="0.2">
      <c r="A140" s="10">
        <v>4701367490</v>
      </c>
      <c r="B140" s="11" t="s">
        <v>12</v>
      </c>
      <c r="C140" s="11" t="s">
        <v>44</v>
      </c>
      <c r="D140" s="11">
        <v>30</v>
      </c>
      <c r="E140" s="12" t="s">
        <v>199</v>
      </c>
      <c r="F140" s="13">
        <v>43306</v>
      </c>
      <c r="G140" s="13" t="s">
        <v>137</v>
      </c>
      <c r="H140" s="11" t="s">
        <v>185</v>
      </c>
      <c r="I140" s="11" t="s">
        <v>16</v>
      </c>
      <c r="J140" s="11" t="s">
        <v>17</v>
      </c>
      <c r="K140" s="11">
        <v>23</v>
      </c>
      <c r="L140" s="11" t="s">
        <v>196</v>
      </c>
      <c r="M140" s="11"/>
      <c r="N140" s="14" t="s">
        <v>45</v>
      </c>
    </row>
    <row r="141" spans="1:14" x14ac:dyDescent="0.2">
      <c r="A141" s="10"/>
      <c r="B141" s="11" t="s">
        <v>12</v>
      </c>
      <c r="C141" s="11" t="s">
        <v>13</v>
      </c>
      <c r="D141" s="11">
        <v>60</v>
      </c>
      <c r="E141" s="12" t="s">
        <v>199</v>
      </c>
      <c r="F141" s="13">
        <v>43306</v>
      </c>
      <c r="G141" s="13" t="s">
        <v>137</v>
      </c>
      <c r="H141" s="11" t="s">
        <v>185</v>
      </c>
      <c r="I141" s="11" t="s">
        <v>16</v>
      </c>
      <c r="J141" s="11" t="s">
        <v>17</v>
      </c>
      <c r="K141" s="11">
        <v>23</v>
      </c>
      <c r="L141" s="11" t="s">
        <v>196</v>
      </c>
      <c r="M141" s="11"/>
      <c r="N141" s="14" t="s">
        <v>18</v>
      </c>
    </row>
    <row r="142" spans="1:14" x14ac:dyDescent="0.2">
      <c r="A142" s="10"/>
      <c r="B142" s="11" t="s">
        <v>12</v>
      </c>
      <c r="C142" s="11" t="s">
        <v>19</v>
      </c>
      <c r="D142" s="11">
        <v>383</v>
      </c>
      <c r="E142" s="12" t="s">
        <v>199</v>
      </c>
      <c r="F142" s="13">
        <v>43306</v>
      </c>
      <c r="G142" s="13" t="s">
        <v>137</v>
      </c>
      <c r="H142" s="11" t="s">
        <v>185</v>
      </c>
      <c r="I142" s="11" t="s">
        <v>16</v>
      </c>
      <c r="J142" s="11" t="s">
        <v>17</v>
      </c>
      <c r="K142" s="11">
        <v>23</v>
      </c>
      <c r="L142" s="11" t="s">
        <v>196</v>
      </c>
      <c r="M142" s="11"/>
      <c r="N142" s="14" t="s">
        <v>20</v>
      </c>
    </row>
    <row r="143" spans="1:14" x14ac:dyDescent="0.2">
      <c r="A143" s="10"/>
      <c r="B143" s="11" t="s">
        <v>12</v>
      </c>
      <c r="C143" s="11" t="s">
        <v>76</v>
      </c>
      <c r="D143" s="11">
        <v>30</v>
      </c>
      <c r="E143" s="12" t="s">
        <v>199</v>
      </c>
      <c r="F143" s="13">
        <v>43306</v>
      </c>
      <c r="G143" s="13" t="s">
        <v>137</v>
      </c>
      <c r="H143" s="11" t="s">
        <v>185</v>
      </c>
      <c r="I143" s="11" t="s">
        <v>16</v>
      </c>
      <c r="J143" s="11" t="s">
        <v>17</v>
      </c>
      <c r="K143" s="11">
        <v>23</v>
      </c>
      <c r="L143" s="11" t="s">
        <v>196</v>
      </c>
      <c r="M143" s="11"/>
      <c r="N143" s="14" t="s">
        <v>77</v>
      </c>
    </row>
    <row r="144" spans="1:14" x14ac:dyDescent="0.2">
      <c r="A144" s="10">
        <v>4701367491</v>
      </c>
      <c r="B144" s="11" t="s">
        <v>33</v>
      </c>
      <c r="C144" s="11" t="s">
        <v>34</v>
      </c>
      <c r="D144" s="11">
        <v>20</v>
      </c>
      <c r="E144" s="12" t="s">
        <v>199</v>
      </c>
      <c r="F144" s="13">
        <v>43306</v>
      </c>
      <c r="G144" s="13" t="s">
        <v>138</v>
      </c>
      <c r="H144" s="11" t="s">
        <v>187</v>
      </c>
      <c r="I144" s="11" t="s">
        <v>24</v>
      </c>
      <c r="J144" s="11" t="s">
        <v>25</v>
      </c>
      <c r="K144" s="11">
        <v>24</v>
      </c>
      <c r="L144" s="11" t="s">
        <v>196</v>
      </c>
      <c r="M144" s="11" t="s">
        <v>139</v>
      </c>
      <c r="N144" s="14" t="s">
        <v>35</v>
      </c>
    </row>
    <row r="145" spans="1:14" x14ac:dyDescent="0.2">
      <c r="A145" s="10"/>
      <c r="B145" s="11" t="s">
        <v>33</v>
      </c>
      <c r="C145" s="11" t="s">
        <v>36</v>
      </c>
      <c r="D145" s="11">
        <v>4</v>
      </c>
      <c r="E145" s="12" t="s">
        <v>199</v>
      </c>
      <c r="F145" s="13">
        <v>43306</v>
      </c>
      <c r="G145" s="13" t="s">
        <v>138</v>
      </c>
      <c r="H145" s="11" t="s">
        <v>187</v>
      </c>
      <c r="I145" s="11" t="s">
        <v>24</v>
      </c>
      <c r="J145" s="11" t="s">
        <v>25</v>
      </c>
      <c r="K145" s="11">
        <v>24</v>
      </c>
      <c r="L145" s="11" t="s">
        <v>196</v>
      </c>
      <c r="M145" s="11" t="s">
        <v>139</v>
      </c>
      <c r="N145" s="14" t="s">
        <v>37</v>
      </c>
    </row>
    <row r="146" spans="1:14" x14ac:dyDescent="0.2">
      <c r="A146" s="10">
        <v>4701367492</v>
      </c>
      <c r="B146" s="11" t="s">
        <v>12</v>
      </c>
      <c r="C146" s="11" t="s">
        <v>44</v>
      </c>
      <c r="D146" s="11">
        <v>13</v>
      </c>
      <c r="E146" s="12" t="s">
        <v>199</v>
      </c>
      <c r="F146" s="13">
        <v>43306</v>
      </c>
      <c r="G146" s="13" t="s">
        <v>138</v>
      </c>
      <c r="H146" s="11" t="s">
        <v>187</v>
      </c>
      <c r="I146" s="11" t="s">
        <v>16</v>
      </c>
      <c r="J146" s="11" t="s">
        <v>17</v>
      </c>
      <c r="K146" s="11">
        <v>24</v>
      </c>
      <c r="L146" s="11" t="s">
        <v>196</v>
      </c>
      <c r="M146" s="11" t="s">
        <v>139</v>
      </c>
      <c r="N146" s="14" t="s">
        <v>45</v>
      </c>
    </row>
    <row r="147" spans="1:14" x14ac:dyDescent="0.2">
      <c r="A147" s="10"/>
      <c r="B147" s="11" t="s">
        <v>12</v>
      </c>
      <c r="C147" s="11" t="s">
        <v>13</v>
      </c>
      <c r="D147" s="11">
        <v>12</v>
      </c>
      <c r="E147" s="12" t="s">
        <v>199</v>
      </c>
      <c r="F147" s="13">
        <v>43306</v>
      </c>
      <c r="G147" s="13" t="s">
        <v>138</v>
      </c>
      <c r="H147" s="11" t="s">
        <v>187</v>
      </c>
      <c r="I147" s="11" t="s">
        <v>16</v>
      </c>
      <c r="J147" s="11" t="s">
        <v>17</v>
      </c>
      <c r="K147" s="11">
        <v>24</v>
      </c>
      <c r="L147" s="11" t="s">
        <v>196</v>
      </c>
      <c r="M147" s="11" t="s">
        <v>139</v>
      </c>
      <c r="N147" s="14" t="s">
        <v>18</v>
      </c>
    </row>
    <row r="148" spans="1:14" x14ac:dyDescent="0.2">
      <c r="A148" s="10"/>
      <c r="B148" s="11" t="s">
        <v>12</v>
      </c>
      <c r="C148" s="11" t="s">
        <v>19</v>
      </c>
      <c r="D148" s="11">
        <v>210</v>
      </c>
      <c r="E148" s="12" t="s">
        <v>199</v>
      </c>
      <c r="F148" s="13">
        <v>43306</v>
      </c>
      <c r="G148" s="13" t="s">
        <v>138</v>
      </c>
      <c r="H148" s="11" t="s">
        <v>187</v>
      </c>
      <c r="I148" s="11" t="s">
        <v>16</v>
      </c>
      <c r="J148" s="11" t="s">
        <v>17</v>
      </c>
      <c r="K148" s="11">
        <v>24</v>
      </c>
      <c r="L148" s="11" t="s">
        <v>196</v>
      </c>
      <c r="M148" s="11" t="s">
        <v>139</v>
      </c>
      <c r="N148" s="14" t="s">
        <v>20</v>
      </c>
    </row>
    <row r="149" spans="1:14" x14ac:dyDescent="0.2">
      <c r="A149" s="10"/>
      <c r="B149" s="11" t="s">
        <v>12</v>
      </c>
      <c r="C149" s="11" t="s">
        <v>80</v>
      </c>
      <c r="D149" s="11">
        <v>6</v>
      </c>
      <c r="E149" s="12" t="s">
        <v>199</v>
      </c>
      <c r="F149" s="13">
        <v>43306</v>
      </c>
      <c r="G149" s="13" t="s">
        <v>138</v>
      </c>
      <c r="H149" s="11" t="s">
        <v>187</v>
      </c>
      <c r="I149" s="11" t="s">
        <v>16</v>
      </c>
      <c r="J149" s="11" t="s">
        <v>17</v>
      </c>
      <c r="K149" s="11">
        <v>24</v>
      </c>
      <c r="L149" s="11" t="s">
        <v>196</v>
      </c>
      <c r="M149" s="11" t="s">
        <v>139</v>
      </c>
      <c r="N149" s="14" t="s">
        <v>82</v>
      </c>
    </row>
    <row r="150" spans="1:14" x14ac:dyDescent="0.2">
      <c r="A150" s="10">
        <v>4701367493</v>
      </c>
      <c r="B150" s="11" t="s">
        <v>12</v>
      </c>
      <c r="C150" s="11" t="s">
        <v>29</v>
      </c>
      <c r="D150" s="11">
        <v>2</v>
      </c>
      <c r="E150" s="12" t="s">
        <v>199</v>
      </c>
      <c r="F150" s="13">
        <v>43306</v>
      </c>
      <c r="G150" s="13" t="s">
        <v>140</v>
      </c>
      <c r="H150" s="11" t="s">
        <v>141</v>
      </c>
      <c r="I150" s="11" t="s">
        <v>24</v>
      </c>
      <c r="J150" s="11" t="s">
        <v>25</v>
      </c>
      <c r="K150" s="11">
        <v>24</v>
      </c>
      <c r="L150" s="11" t="s">
        <v>196</v>
      </c>
      <c r="M150" s="11" t="s">
        <v>139</v>
      </c>
      <c r="N150" s="14" t="s">
        <v>30</v>
      </c>
    </row>
    <row r="151" spans="1:14" x14ac:dyDescent="0.2">
      <c r="A151" s="10">
        <v>4701367494</v>
      </c>
      <c r="B151" s="11" t="s">
        <v>33</v>
      </c>
      <c r="C151" s="11" t="s">
        <v>34</v>
      </c>
      <c r="D151" s="11">
        <v>18</v>
      </c>
      <c r="E151" s="12" t="s">
        <v>199</v>
      </c>
      <c r="F151" s="13">
        <v>43306</v>
      </c>
      <c r="G151" s="13" t="s">
        <v>140</v>
      </c>
      <c r="H151" s="11" t="s">
        <v>141</v>
      </c>
      <c r="I151" s="11" t="s">
        <v>24</v>
      </c>
      <c r="J151" s="11" t="s">
        <v>25</v>
      </c>
      <c r="K151" s="11">
        <v>24</v>
      </c>
      <c r="L151" s="11" t="s">
        <v>196</v>
      </c>
      <c r="M151" s="11" t="s">
        <v>139</v>
      </c>
      <c r="N151" s="14" t="s">
        <v>35</v>
      </c>
    </row>
    <row r="152" spans="1:14" x14ac:dyDescent="0.2">
      <c r="A152" s="10"/>
      <c r="B152" s="11" t="s">
        <v>33</v>
      </c>
      <c r="C152" s="11" t="s">
        <v>36</v>
      </c>
      <c r="D152" s="11">
        <v>8</v>
      </c>
      <c r="E152" s="12" t="s">
        <v>199</v>
      </c>
      <c r="F152" s="13">
        <v>43306</v>
      </c>
      <c r="G152" s="13" t="s">
        <v>140</v>
      </c>
      <c r="H152" s="11" t="s">
        <v>141</v>
      </c>
      <c r="I152" s="11" t="s">
        <v>24</v>
      </c>
      <c r="J152" s="11" t="s">
        <v>25</v>
      </c>
      <c r="K152" s="11">
        <v>24</v>
      </c>
      <c r="L152" s="11" t="s">
        <v>196</v>
      </c>
      <c r="M152" s="11" t="s">
        <v>139</v>
      </c>
      <c r="N152" s="14" t="s">
        <v>37</v>
      </c>
    </row>
    <row r="153" spans="1:14" x14ac:dyDescent="0.2">
      <c r="A153" s="10">
        <v>4701367495</v>
      </c>
      <c r="B153" s="11" t="s">
        <v>12</v>
      </c>
      <c r="C153" s="11" t="s">
        <v>44</v>
      </c>
      <c r="D153" s="11">
        <v>14</v>
      </c>
      <c r="E153" s="12" t="s">
        <v>199</v>
      </c>
      <c r="F153" s="13">
        <v>43306</v>
      </c>
      <c r="G153" s="13" t="s">
        <v>140</v>
      </c>
      <c r="H153" s="11" t="s">
        <v>141</v>
      </c>
      <c r="I153" s="11" t="s">
        <v>16</v>
      </c>
      <c r="J153" s="11" t="s">
        <v>17</v>
      </c>
      <c r="K153" s="11">
        <v>24</v>
      </c>
      <c r="L153" s="11" t="s">
        <v>196</v>
      </c>
      <c r="M153" s="11" t="s">
        <v>139</v>
      </c>
      <c r="N153" s="14" t="s">
        <v>45</v>
      </c>
    </row>
    <row r="154" spans="1:14" x14ac:dyDescent="0.2">
      <c r="A154" s="10"/>
      <c r="B154" s="11" t="s">
        <v>12</v>
      </c>
      <c r="C154" s="11" t="s">
        <v>13</v>
      </c>
      <c r="D154" s="11">
        <v>3</v>
      </c>
      <c r="E154" s="12" t="s">
        <v>199</v>
      </c>
      <c r="F154" s="13">
        <v>43306</v>
      </c>
      <c r="G154" s="13" t="s">
        <v>140</v>
      </c>
      <c r="H154" s="11" t="s">
        <v>141</v>
      </c>
      <c r="I154" s="11" t="s">
        <v>16</v>
      </c>
      <c r="J154" s="11" t="s">
        <v>17</v>
      </c>
      <c r="K154" s="11">
        <v>24</v>
      </c>
      <c r="L154" s="11" t="s">
        <v>196</v>
      </c>
      <c r="M154" s="11" t="s">
        <v>139</v>
      </c>
      <c r="N154" s="14" t="s">
        <v>18</v>
      </c>
    </row>
    <row r="155" spans="1:14" x14ac:dyDescent="0.2">
      <c r="A155" s="10"/>
      <c r="B155" s="11" t="s">
        <v>12</v>
      </c>
      <c r="C155" s="11" t="s">
        <v>19</v>
      </c>
      <c r="D155" s="11">
        <v>210</v>
      </c>
      <c r="E155" s="12" t="s">
        <v>199</v>
      </c>
      <c r="F155" s="13">
        <v>43306</v>
      </c>
      <c r="G155" s="13" t="s">
        <v>140</v>
      </c>
      <c r="H155" s="11" t="s">
        <v>141</v>
      </c>
      <c r="I155" s="11" t="s">
        <v>16</v>
      </c>
      <c r="J155" s="11" t="s">
        <v>17</v>
      </c>
      <c r="K155" s="11">
        <v>24</v>
      </c>
      <c r="L155" s="11" t="s">
        <v>196</v>
      </c>
      <c r="M155" s="11" t="s">
        <v>139</v>
      </c>
      <c r="N155" s="14" t="s">
        <v>20</v>
      </c>
    </row>
    <row r="156" spans="1:14" x14ac:dyDescent="0.2">
      <c r="A156" s="10">
        <v>4701367496</v>
      </c>
      <c r="B156" s="11" t="s">
        <v>33</v>
      </c>
      <c r="C156" s="11" t="s">
        <v>34</v>
      </c>
      <c r="D156" s="11">
        <v>20</v>
      </c>
      <c r="E156" s="12" t="s">
        <v>199</v>
      </c>
      <c r="F156" s="13">
        <v>43306</v>
      </c>
      <c r="G156" s="13" t="s">
        <v>142</v>
      </c>
      <c r="H156" s="11" t="s">
        <v>192</v>
      </c>
      <c r="I156" s="11" t="s">
        <v>24</v>
      </c>
      <c r="J156" s="11" t="s">
        <v>25</v>
      </c>
      <c r="K156" s="11">
        <v>25</v>
      </c>
      <c r="L156" s="11" t="s">
        <v>196</v>
      </c>
      <c r="M156" s="11" t="s">
        <v>143</v>
      </c>
      <c r="N156" s="14" t="s">
        <v>35</v>
      </c>
    </row>
    <row r="157" spans="1:14" x14ac:dyDescent="0.2">
      <c r="A157" s="10"/>
      <c r="B157" s="11" t="s">
        <v>33</v>
      </c>
      <c r="C157" s="11" t="s">
        <v>36</v>
      </c>
      <c r="D157" s="11">
        <v>32</v>
      </c>
      <c r="E157" s="12" t="s">
        <v>199</v>
      </c>
      <c r="F157" s="13">
        <v>43306</v>
      </c>
      <c r="G157" s="13" t="s">
        <v>142</v>
      </c>
      <c r="H157" s="11" t="s">
        <v>192</v>
      </c>
      <c r="I157" s="11" t="s">
        <v>24</v>
      </c>
      <c r="J157" s="11" t="s">
        <v>25</v>
      </c>
      <c r="K157" s="11">
        <v>25</v>
      </c>
      <c r="L157" s="11" t="s">
        <v>196</v>
      </c>
      <c r="M157" s="11" t="s">
        <v>143</v>
      </c>
      <c r="N157" s="14" t="s">
        <v>37</v>
      </c>
    </row>
    <row r="158" spans="1:14" x14ac:dyDescent="0.2">
      <c r="A158" s="10">
        <v>4701367497</v>
      </c>
      <c r="B158" s="11" t="s">
        <v>12</v>
      </c>
      <c r="C158" s="11" t="s">
        <v>44</v>
      </c>
      <c r="D158" s="11">
        <v>7</v>
      </c>
      <c r="E158" s="12" t="s">
        <v>199</v>
      </c>
      <c r="F158" s="13">
        <v>43306</v>
      </c>
      <c r="G158" s="13" t="s">
        <v>142</v>
      </c>
      <c r="H158" s="11" t="s">
        <v>192</v>
      </c>
      <c r="I158" s="11" t="s">
        <v>16</v>
      </c>
      <c r="J158" s="11" t="s">
        <v>17</v>
      </c>
      <c r="K158" s="11">
        <v>25</v>
      </c>
      <c r="L158" s="11" t="s">
        <v>196</v>
      </c>
      <c r="M158" s="11" t="s">
        <v>143</v>
      </c>
      <c r="N158" s="14" t="s">
        <v>45</v>
      </c>
    </row>
    <row r="159" spans="1:14" x14ac:dyDescent="0.2">
      <c r="A159" s="10"/>
      <c r="B159" s="11" t="s">
        <v>12</v>
      </c>
      <c r="C159" s="11" t="s">
        <v>13</v>
      </c>
      <c r="D159" s="11">
        <v>20</v>
      </c>
      <c r="E159" s="12" t="s">
        <v>199</v>
      </c>
      <c r="F159" s="13">
        <v>43306</v>
      </c>
      <c r="G159" s="13" t="s">
        <v>142</v>
      </c>
      <c r="H159" s="11" t="s">
        <v>192</v>
      </c>
      <c r="I159" s="11" t="s">
        <v>16</v>
      </c>
      <c r="J159" s="11" t="s">
        <v>17</v>
      </c>
      <c r="K159" s="11">
        <v>25</v>
      </c>
      <c r="L159" s="11" t="s">
        <v>196</v>
      </c>
      <c r="M159" s="11" t="s">
        <v>143</v>
      </c>
      <c r="N159" s="14" t="s">
        <v>18</v>
      </c>
    </row>
    <row r="160" spans="1:14" x14ac:dyDescent="0.2">
      <c r="A160" s="10"/>
      <c r="B160" s="11" t="s">
        <v>12</v>
      </c>
      <c r="C160" s="11" t="s">
        <v>19</v>
      </c>
      <c r="D160" s="11">
        <v>265</v>
      </c>
      <c r="E160" s="12" t="s">
        <v>199</v>
      </c>
      <c r="F160" s="13">
        <v>43306</v>
      </c>
      <c r="G160" s="13" t="s">
        <v>142</v>
      </c>
      <c r="H160" s="11" t="s">
        <v>192</v>
      </c>
      <c r="I160" s="11" t="s">
        <v>16</v>
      </c>
      <c r="J160" s="11" t="s">
        <v>17</v>
      </c>
      <c r="K160" s="11">
        <v>25</v>
      </c>
      <c r="L160" s="11" t="s">
        <v>196</v>
      </c>
      <c r="M160" s="11" t="s">
        <v>143</v>
      </c>
      <c r="N160" s="14" t="s">
        <v>20</v>
      </c>
    </row>
    <row r="161" spans="1:14" x14ac:dyDescent="0.2">
      <c r="A161" s="10"/>
      <c r="B161" s="11" t="s">
        <v>12</v>
      </c>
      <c r="C161" s="11" t="s">
        <v>80</v>
      </c>
      <c r="D161" s="11">
        <v>21</v>
      </c>
      <c r="E161" s="12" t="s">
        <v>199</v>
      </c>
      <c r="F161" s="13">
        <v>43306</v>
      </c>
      <c r="G161" s="13" t="s">
        <v>142</v>
      </c>
      <c r="H161" s="11" t="s">
        <v>192</v>
      </c>
      <c r="I161" s="11" t="s">
        <v>16</v>
      </c>
      <c r="J161" s="11" t="s">
        <v>17</v>
      </c>
      <c r="K161" s="11">
        <v>25</v>
      </c>
      <c r="L161" s="11" t="s">
        <v>196</v>
      </c>
      <c r="M161" s="11" t="s">
        <v>143</v>
      </c>
      <c r="N161" s="14" t="s">
        <v>82</v>
      </c>
    </row>
    <row r="162" spans="1:14" x14ac:dyDescent="0.2">
      <c r="A162" s="10">
        <v>4701367498</v>
      </c>
      <c r="B162" s="11" t="s">
        <v>33</v>
      </c>
      <c r="C162" s="11" t="s">
        <v>36</v>
      </c>
      <c r="D162" s="11">
        <v>12</v>
      </c>
      <c r="E162" s="12" t="s">
        <v>199</v>
      </c>
      <c r="F162" s="13">
        <v>43306</v>
      </c>
      <c r="G162" s="13" t="s">
        <v>144</v>
      </c>
      <c r="H162" s="11" t="s">
        <v>145</v>
      </c>
      <c r="I162" s="11" t="s">
        <v>24</v>
      </c>
      <c r="J162" s="11" t="s">
        <v>25</v>
      </c>
      <c r="K162" s="11">
        <v>25</v>
      </c>
      <c r="L162" s="11" t="s">
        <v>196</v>
      </c>
      <c r="M162" s="11" t="s">
        <v>143</v>
      </c>
      <c r="N162" s="14" t="s">
        <v>37</v>
      </c>
    </row>
    <row r="163" spans="1:14" x14ac:dyDescent="0.2">
      <c r="A163" s="10">
        <v>4701367499</v>
      </c>
      <c r="B163" s="11" t="s">
        <v>12</v>
      </c>
      <c r="C163" s="11" t="s">
        <v>44</v>
      </c>
      <c r="D163" s="11">
        <v>5</v>
      </c>
      <c r="E163" s="12" t="s">
        <v>199</v>
      </c>
      <c r="F163" s="13">
        <v>43306</v>
      </c>
      <c r="G163" s="13" t="s">
        <v>144</v>
      </c>
      <c r="H163" s="11" t="s">
        <v>145</v>
      </c>
      <c r="I163" s="11" t="s">
        <v>16</v>
      </c>
      <c r="J163" s="11" t="s">
        <v>17</v>
      </c>
      <c r="K163" s="11">
        <v>25</v>
      </c>
      <c r="L163" s="11" t="s">
        <v>196</v>
      </c>
      <c r="M163" s="11" t="s">
        <v>143</v>
      </c>
      <c r="N163" s="14" t="s">
        <v>45</v>
      </c>
    </row>
    <row r="164" spans="1:14" x14ac:dyDescent="0.2">
      <c r="A164" s="10"/>
      <c r="B164" s="11" t="s">
        <v>12</v>
      </c>
      <c r="C164" s="11" t="s">
        <v>13</v>
      </c>
      <c r="D164" s="11">
        <v>10</v>
      </c>
      <c r="E164" s="12" t="s">
        <v>199</v>
      </c>
      <c r="F164" s="13">
        <v>43306</v>
      </c>
      <c r="G164" s="13" t="s">
        <v>144</v>
      </c>
      <c r="H164" s="11" t="s">
        <v>145</v>
      </c>
      <c r="I164" s="11" t="s">
        <v>16</v>
      </c>
      <c r="J164" s="11" t="s">
        <v>17</v>
      </c>
      <c r="K164" s="11">
        <v>25</v>
      </c>
      <c r="L164" s="11" t="s">
        <v>196</v>
      </c>
      <c r="M164" s="11" t="s">
        <v>143</v>
      </c>
      <c r="N164" s="14" t="s">
        <v>18</v>
      </c>
    </row>
    <row r="165" spans="1:14" x14ac:dyDescent="0.2">
      <c r="A165" s="10"/>
      <c r="B165" s="11" t="s">
        <v>12</v>
      </c>
      <c r="C165" s="11" t="s">
        <v>19</v>
      </c>
      <c r="D165" s="11">
        <v>120</v>
      </c>
      <c r="E165" s="12" t="s">
        <v>199</v>
      </c>
      <c r="F165" s="13">
        <v>43306</v>
      </c>
      <c r="G165" s="13" t="s">
        <v>144</v>
      </c>
      <c r="H165" s="11" t="s">
        <v>145</v>
      </c>
      <c r="I165" s="11" t="s">
        <v>16</v>
      </c>
      <c r="J165" s="11" t="s">
        <v>17</v>
      </c>
      <c r="K165" s="11">
        <v>25</v>
      </c>
      <c r="L165" s="11" t="s">
        <v>196</v>
      </c>
      <c r="M165" s="11" t="s">
        <v>143</v>
      </c>
      <c r="N165" s="14" t="s">
        <v>20</v>
      </c>
    </row>
    <row r="166" spans="1:14" x14ac:dyDescent="0.2">
      <c r="A166" s="10">
        <v>4701367500</v>
      </c>
      <c r="B166" s="11" t="s">
        <v>12</v>
      </c>
      <c r="C166" s="11" t="s">
        <v>44</v>
      </c>
      <c r="D166" s="11">
        <v>200</v>
      </c>
      <c r="E166" s="43" t="s">
        <v>199</v>
      </c>
      <c r="F166" s="13">
        <v>43306</v>
      </c>
      <c r="G166" s="13" t="s">
        <v>135</v>
      </c>
      <c r="H166" s="11" t="s">
        <v>168</v>
      </c>
      <c r="I166" s="11" t="s">
        <v>16</v>
      </c>
      <c r="J166" s="11" t="s">
        <v>17</v>
      </c>
      <c r="K166" s="11">
        <v>26</v>
      </c>
      <c r="L166" s="11" t="s">
        <v>56</v>
      </c>
      <c r="M166" s="11"/>
      <c r="N166" s="14" t="s">
        <v>45</v>
      </c>
    </row>
    <row r="167" spans="1:14" x14ac:dyDescent="0.2">
      <c r="A167" s="10"/>
      <c r="B167" s="11" t="s">
        <v>12</v>
      </c>
      <c r="C167" s="11" t="s">
        <v>13</v>
      </c>
      <c r="D167" s="11">
        <v>100</v>
      </c>
      <c r="E167" s="12" t="s">
        <v>199</v>
      </c>
      <c r="F167" s="13">
        <v>43306</v>
      </c>
      <c r="G167" s="13" t="s">
        <v>135</v>
      </c>
      <c r="H167" s="11" t="s">
        <v>168</v>
      </c>
      <c r="I167" s="11" t="s">
        <v>16</v>
      </c>
      <c r="J167" s="11" t="s">
        <v>17</v>
      </c>
      <c r="K167" s="11">
        <v>26</v>
      </c>
      <c r="L167" s="11" t="s">
        <v>56</v>
      </c>
      <c r="M167" s="11"/>
      <c r="N167" s="14" t="s">
        <v>18</v>
      </c>
    </row>
    <row r="168" spans="1:14" x14ac:dyDescent="0.2">
      <c r="A168" s="10"/>
      <c r="B168" s="11" t="s">
        <v>12</v>
      </c>
      <c r="C168" s="11" t="s">
        <v>57</v>
      </c>
      <c r="D168" s="11">
        <v>190</v>
      </c>
      <c r="E168" s="12" t="s">
        <v>199</v>
      </c>
      <c r="F168" s="13">
        <v>43306</v>
      </c>
      <c r="G168" s="13" t="s">
        <v>135</v>
      </c>
      <c r="H168" s="11" t="s">
        <v>168</v>
      </c>
      <c r="I168" s="11" t="s">
        <v>16</v>
      </c>
      <c r="J168" s="11" t="s">
        <v>17</v>
      </c>
      <c r="K168" s="11">
        <v>26</v>
      </c>
      <c r="L168" s="11" t="s">
        <v>56</v>
      </c>
      <c r="M168" s="11"/>
      <c r="N168" s="14" t="s">
        <v>58</v>
      </c>
    </row>
    <row r="169" spans="1:14" x14ac:dyDescent="0.2">
      <c r="A169" s="10"/>
      <c r="B169" s="11" t="s">
        <v>12</v>
      </c>
      <c r="C169" s="11" t="s">
        <v>80</v>
      </c>
      <c r="D169" s="11">
        <v>100</v>
      </c>
      <c r="E169" s="12" t="s">
        <v>199</v>
      </c>
      <c r="F169" s="13">
        <v>43306</v>
      </c>
      <c r="G169" s="13" t="s">
        <v>135</v>
      </c>
      <c r="H169" s="11" t="s">
        <v>168</v>
      </c>
      <c r="I169" s="11" t="s">
        <v>16</v>
      </c>
      <c r="J169" s="11" t="s">
        <v>17</v>
      </c>
      <c r="K169" s="11">
        <v>26</v>
      </c>
      <c r="L169" s="11" t="s">
        <v>56</v>
      </c>
      <c r="M169" s="11"/>
      <c r="N169" s="14" t="s">
        <v>82</v>
      </c>
    </row>
    <row r="170" spans="1:14" x14ac:dyDescent="0.2">
      <c r="A170" s="10">
        <v>4701367501</v>
      </c>
      <c r="B170" s="11" t="s">
        <v>12</v>
      </c>
      <c r="C170" s="11" t="s">
        <v>21</v>
      </c>
      <c r="D170" s="11">
        <v>100</v>
      </c>
      <c r="E170" s="12" t="s">
        <v>199</v>
      </c>
      <c r="F170" s="13">
        <v>43306</v>
      </c>
      <c r="G170" s="13" t="s">
        <v>108</v>
      </c>
      <c r="H170" s="11" t="s">
        <v>189</v>
      </c>
      <c r="I170" s="11" t="s">
        <v>24</v>
      </c>
      <c r="J170" s="11" t="s">
        <v>25</v>
      </c>
      <c r="K170" s="11">
        <v>27</v>
      </c>
      <c r="L170" s="11" t="s">
        <v>194</v>
      </c>
      <c r="M170" s="11"/>
      <c r="N170" s="14" t="s">
        <v>26</v>
      </c>
    </row>
    <row r="171" spans="1:14" x14ac:dyDescent="0.2">
      <c r="A171" s="10"/>
      <c r="B171" s="11" t="s">
        <v>92</v>
      </c>
      <c r="C171" s="11" t="s">
        <v>109</v>
      </c>
      <c r="D171" s="11">
        <v>18</v>
      </c>
      <c r="E171" s="12" t="s">
        <v>199</v>
      </c>
      <c r="F171" s="13">
        <v>43306</v>
      </c>
      <c r="G171" s="13" t="s">
        <v>108</v>
      </c>
      <c r="H171" s="11" t="s">
        <v>189</v>
      </c>
      <c r="I171" s="11" t="s">
        <v>24</v>
      </c>
      <c r="J171" s="11" t="s">
        <v>25</v>
      </c>
      <c r="K171" s="11">
        <v>27</v>
      </c>
      <c r="L171" s="11" t="s">
        <v>194</v>
      </c>
      <c r="M171" s="11"/>
      <c r="N171" s="14" t="s">
        <v>110</v>
      </c>
    </row>
    <row r="172" spans="1:14" x14ac:dyDescent="0.2">
      <c r="A172" s="10"/>
      <c r="B172" s="11" t="s">
        <v>92</v>
      </c>
      <c r="C172" s="11" t="s">
        <v>96</v>
      </c>
      <c r="D172" s="11">
        <v>13</v>
      </c>
      <c r="E172" s="12" t="s">
        <v>199</v>
      </c>
      <c r="F172" s="13">
        <v>43306</v>
      </c>
      <c r="G172" s="13" t="s">
        <v>108</v>
      </c>
      <c r="H172" s="11" t="s">
        <v>189</v>
      </c>
      <c r="I172" s="11" t="s">
        <v>24</v>
      </c>
      <c r="J172" s="11" t="s">
        <v>25</v>
      </c>
      <c r="K172" s="11">
        <v>27</v>
      </c>
      <c r="L172" s="11" t="s">
        <v>194</v>
      </c>
      <c r="M172" s="11"/>
      <c r="N172" s="14" t="s">
        <v>97</v>
      </c>
    </row>
    <row r="173" spans="1:14" x14ac:dyDescent="0.2">
      <c r="A173" s="10">
        <v>4701367502</v>
      </c>
      <c r="B173" s="11" t="s">
        <v>33</v>
      </c>
      <c r="C173" s="11" t="s">
        <v>34</v>
      </c>
      <c r="D173" s="11">
        <v>135</v>
      </c>
      <c r="E173" s="12" t="s">
        <v>199</v>
      </c>
      <c r="F173" s="13">
        <v>43306</v>
      </c>
      <c r="G173" s="13" t="s">
        <v>108</v>
      </c>
      <c r="H173" s="11" t="s">
        <v>189</v>
      </c>
      <c r="I173" s="11" t="s">
        <v>24</v>
      </c>
      <c r="J173" s="11" t="s">
        <v>25</v>
      </c>
      <c r="K173" s="11">
        <v>27</v>
      </c>
      <c r="L173" s="11" t="s">
        <v>194</v>
      </c>
      <c r="M173" s="11"/>
      <c r="N173" s="14" t="s">
        <v>35</v>
      </c>
    </row>
    <row r="174" spans="1:14" x14ac:dyDescent="0.2">
      <c r="A174" s="10"/>
      <c r="B174" s="11" t="s">
        <v>33</v>
      </c>
      <c r="C174" s="11" t="s">
        <v>36</v>
      </c>
      <c r="D174" s="11">
        <v>28</v>
      </c>
      <c r="E174" s="12" t="s">
        <v>199</v>
      </c>
      <c r="F174" s="13">
        <v>43306</v>
      </c>
      <c r="G174" s="13" t="s">
        <v>108</v>
      </c>
      <c r="H174" s="11" t="s">
        <v>189</v>
      </c>
      <c r="I174" s="11" t="s">
        <v>24</v>
      </c>
      <c r="J174" s="11" t="s">
        <v>25</v>
      </c>
      <c r="K174" s="11">
        <v>27</v>
      </c>
      <c r="L174" s="11" t="s">
        <v>194</v>
      </c>
      <c r="M174" s="11"/>
      <c r="N174" s="14" t="s">
        <v>37</v>
      </c>
    </row>
    <row r="175" spans="1:14" ht="14.85" customHeight="1" x14ac:dyDescent="0.2">
      <c r="A175" s="10">
        <v>4701367503</v>
      </c>
      <c r="B175" s="11" t="s">
        <v>12</v>
      </c>
      <c r="C175" s="11" t="s">
        <v>44</v>
      </c>
      <c r="D175" s="11">
        <v>55</v>
      </c>
      <c r="E175" s="12" t="s">
        <v>199</v>
      </c>
      <c r="F175" s="13">
        <v>43306</v>
      </c>
      <c r="G175" s="13" t="s">
        <v>108</v>
      </c>
      <c r="H175" s="11" t="s">
        <v>189</v>
      </c>
      <c r="I175" s="11" t="s">
        <v>16</v>
      </c>
      <c r="J175" s="11" t="s">
        <v>17</v>
      </c>
      <c r="K175" s="11">
        <v>27</v>
      </c>
      <c r="L175" s="11" t="s">
        <v>194</v>
      </c>
      <c r="M175" s="11"/>
      <c r="N175" s="14" t="s">
        <v>45</v>
      </c>
    </row>
    <row r="176" spans="1:14" ht="14.85" customHeight="1" x14ac:dyDescent="0.2">
      <c r="A176" s="10"/>
      <c r="B176" s="11" t="s">
        <v>12</v>
      </c>
      <c r="C176" s="11" t="s">
        <v>47</v>
      </c>
      <c r="D176" s="11">
        <v>25</v>
      </c>
      <c r="E176" s="12" t="s">
        <v>199</v>
      </c>
      <c r="F176" s="13">
        <v>43306</v>
      </c>
      <c r="G176" s="13" t="s">
        <v>108</v>
      </c>
      <c r="H176" s="11" t="s">
        <v>189</v>
      </c>
      <c r="I176" s="11" t="s">
        <v>16</v>
      </c>
      <c r="J176" s="11" t="s">
        <v>17</v>
      </c>
      <c r="K176" s="11">
        <v>27</v>
      </c>
      <c r="L176" s="11" t="s">
        <v>194</v>
      </c>
      <c r="M176" s="11"/>
      <c r="N176" s="14" t="s">
        <v>48</v>
      </c>
    </row>
    <row r="177" spans="1:14" x14ac:dyDescent="0.2">
      <c r="A177" s="10"/>
      <c r="B177" s="11" t="s">
        <v>12</v>
      </c>
      <c r="C177" s="11" t="s">
        <v>19</v>
      </c>
      <c r="D177" s="11">
        <v>376</v>
      </c>
      <c r="E177" s="12" t="s">
        <v>199</v>
      </c>
      <c r="F177" s="13">
        <v>43306</v>
      </c>
      <c r="G177" s="13" t="s">
        <v>108</v>
      </c>
      <c r="H177" s="11" t="s">
        <v>189</v>
      </c>
      <c r="I177" s="11" t="s">
        <v>16</v>
      </c>
      <c r="J177" s="11" t="s">
        <v>17</v>
      </c>
      <c r="K177" s="11">
        <v>27</v>
      </c>
      <c r="L177" s="11" t="s">
        <v>194</v>
      </c>
      <c r="M177" s="11"/>
      <c r="N177" s="14" t="s">
        <v>20</v>
      </c>
    </row>
    <row r="178" spans="1:14" x14ac:dyDescent="0.2">
      <c r="A178" s="10"/>
      <c r="B178" s="11" t="s">
        <v>12</v>
      </c>
      <c r="C178" s="11" t="s">
        <v>40</v>
      </c>
      <c r="D178" s="11">
        <v>100</v>
      </c>
      <c r="E178" s="12" t="s">
        <v>199</v>
      </c>
      <c r="F178" s="13">
        <v>43306</v>
      </c>
      <c r="G178" s="13" t="s">
        <v>108</v>
      </c>
      <c r="H178" s="11" t="s">
        <v>189</v>
      </c>
      <c r="I178" s="11" t="s">
        <v>16</v>
      </c>
      <c r="J178" s="11" t="s">
        <v>17</v>
      </c>
      <c r="K178" s="11">
        <v>27</v>
      </c>
      <c r="L178" s="11" t="s">
        <v>194</v>
      </c>
      <c r="M178" s="11"/>
      <c r="N178" s="14" t="s">
        <v>41</v>
      </c>
    </row>
    <row r="179" spans="1:14" x14ac:dyDescent="0.2">
      <c r="A179" s="10"/>
      <c r="B179" s="11" t="s">
        <v>12</v>
      </c>
      <c r="C179" s="11" t="s">
        <v>57</v>
      </c>
      <c r="D179" s="11">
        <v>9</v>
      </c>
      <c r="E179" s="12" t="s">
        <v>199</v>
      </c>
      <c r="F179" s="13">
        <v>43306</v>
      </c>
      <c r="G179" s="13" t="s">
        <v>108</v>
      </c>
      <c r="H179" s="11" t="s">
        <v>189</v>
      </c>
      <c r="I179" s="11" t="s">
        <v>16</v>
      </c>
      <c r="J179" s="11" t="s">
        <v>17</v>
      </c>
      <c r="K179" s="11">
        <v>27</v>
      </c>
      <c r="L179" s="11" t="s">
        <v>194</v>
      </c>
      <c r="M179" s="11"/>
      <c r="N179" s="14" t="s">
        <v>58</v>
      </c>
    </row>
    <row r="180" spans="1:14" x14ac:dyDescent="0.2">
      <c r="A180" s="10"/>
      <c r="B180" s="11" t="s">
        <v>12</v>
      </c>
      <c r="C180" s="11" t="s">
        <v>42</v>
      </c>
      <c r="D180" s="11">
        <v>100</v>
      </c>
      <c r="E180" s="12" t="s">
        <v>199</v>
      </c>
      <c r="F180" s="13">
        <v>43306</v>
      </c>
      <c r="G180" s="13" t="s">
        <v>108</v>
      </c>
      <c r="H180" s="11" t="s">
        <v>189</v>
      </c>
      <c r="I180" s="11" t="s">
        <v>16</v>
      </c>
      <c r="J180" s="11" t="s">
        <v>17</v>
      </c>
      <c r="K180" s="11">
        <v>27</v>
      </c>
      <c r="L180" s="11" t="s">
        <v>194</v>
      </c>
      <c r="M180" s="11"/>
      <c r="N180" s="14" t="s">
        <v>43</v>
      </c>
    </row>
    <row r="181" spans="1:14" x14ac:dyDescent="0.2">
      <c r="A181" s="10"/>
      <c r="B181" s="38" t="s">
        <v>12</v>
      </c>
      <c r="C181" s="38" t="s">
        <v>21</v>
      </c>
      <c r="D181" s="38">
        <v>60</v>
      </c>
      <c r="E181" s="43" t="s">
        <v>199</v>
      </c>
      <c r="F181" s="40">
        <v>43306</v>
      </c>
      <c r="G181" s="38" t="s">
        <v>24</v>
      </c>
      <c r="H181" s="38" t="s">
        <v>193</v>
      </c>
      <c r="I181" s="38" t="s">
        <v>24</v>
      </c>
      <c r="J181" s="38" t="s">
        <v>25</v>
      </c>
      <c r="K181" s="38"/>
      <c r="L181" s="38"/>
      <c r="M181" s="38"/>
      <c r="N181" s="41" t="s">
        <v>26</v>
      </c>
    </row>
    <row r="182" spans="1:14" x14ac:dyDescent="0.2">
      <c r="A182" s="10"/>
      <c r="B182" s="38" t="s">
        <v>12</v>
      </c>
      <c r="C182" s="38" t="s">
        <v>13</v>
      </c>
      <c r="D182" s="38">
        <v>49</v>
      </c>
      <c r="E182" s="43" t="s">
        <v>199</v>
      </c>
      <c r="F182" s="40">
        <v>43306</v>
      </c>
      <c r="G182" s="38" t="s">
        <v>24</v>
      </c>
      <c r="H182" s="38" t="s">
        <v>193</v>
      </c>
      <c r="I182" s="38" t="s">
        <v>24</v>
      </c>
      <c r="J182" s="38" t="s">
        <v>25</v>
      </c>
      <c r="K182" s="38"/>
      <c r="L182" s="38"/>
      <c r="M182" s="38"/>
      <c r="N182" s="41" t="s">
        <v>18</v>
      </c>
    </row>
    <row r="183" spans="1:14" x14ac:dyDescent="0.2">
      <c r="A183" s="10"/>
      <c r="B183" s="38" t="s">
        <v>12</v>
      </c>
      <c r="C183" s="38" t="s">
        <v>65</v>
      </c>
      <c r="D183" s="38">
        <v>53</v>
      </c>
      <c r="E183" s="43" t="s">
        <v>199</v>
      </c>
      <c r="F183" s="40">
        <v>43306</v>
      </c>
      <c r="G183" s="38" t="s">
        <v>24</v>
      </c>
      <c r="H183" s="38" t="s">
        <v>193</v>
      </c>
      <c r="I183" s="38" t="s">
        <v>24</v>
      </c>
      <c r="J183" s="38" t="s">
        <v>25</v>
      </c>
      <c r="K183" s="38"/>
      <c r="L183" s="38"/>
      <c r="M183" s="38"/>
      <c r="N183" s="41" t="s">
        <v>66</v>
      </c>
    </row>
    <row r="184" spans="1:14" x14ac:dyDescent="0.2">
      <c r="A184" s="10"/>
      <c r="B184" s="38" t="s">
        <v>12</v>
      </c>
      <c r="C184" s="38" t="s">
        <v>40</v>
      </c>
      <c r="D184" s="38">
        <v>4</v>
      </c>
      <c r="E184" s="43" t="s">
        <v>199</v>
      </c>
      <c r="F184" s="40">
        <v>43306</v>
      </c>
      <c r="G184" s="38" t="s">
        <v>24</v>
      </c>
      <c r="H184" s="38" t="s">
        <v>193</v>
      </c>
      <c r="I184" s="38" t="s">
        <v>24</v>
      </c>
      <c r="J184" s="38" t="s">
        <v>25</v>
      </c>
      <c r="K184" s="38"/>
      <c r="L184" s="38"/>
      <c r="M184" s="38"/>
      <c r="N184" s="41" t="s">
        <v>41</v>
      </c>
    </row>
    <row r="185" spans="1:14" x14ac:dyDescent="0.2">
      <c r="A185" s="10"/>
      <c r="B185" s="38" t="s">
        <v>92</v>
      </c>
      <c r="C185" s="38" t="s">
        <v>96</v>
      </c>
      <c r="D185" s="38">
        <v>30</v>
      </c>
      <c r="E185" s="43" t="s">
        <v>199</v>
      </c>
      <c r="F185" s="40">
        <v>43306</v>
      </c>
      <c r="G185" s="38" t="s">
        <v>24</v>
      </c>
      <c r="H185" s="38" t="s">
        <v>193</v>
      </c>
      <c r="I185" s="38" t="s">
        <v>24</v>
      </c>
      <c r="J185" s="38" t="s">
        <v>25</v>
      </c>
      <c r="K185" s="38"/>
      <c r="L185" s="38"/>
      <c r="M185" s="38"/>
      <c r="N185" s="41" t="s">
        <v>97</v>
      </c>
    </row>
    <row r="186" spans="1:14" x14ac:dyDescent="0.2">
      <c r="A186" s="10"/>
      <c r="B186" s="38" t="s">
        <v>12</v>
      </c>
      <c r="C186" s="38" t="s">
        <v>80</v>
      </c>
      <c r="D186" s="32">
        <f>9-8</f>
        <v>1</v>
      </c>
      <c r="E186" s="43" t="s">
        <v>199</v>
      </c>
      <c r="F186" s="40">
        <v>43306</v>
      </c>
      <c r="G186" s="38" t="s">
        <v>24</v>
      </c>
      <c r="H186" s="38" t="s">
        <v>193</v>
      </c>
      <c r="I186" s="38" t="s">
        <v>24</v>
      </c>
      <c r="J186" s="38" t="s">
        <v>25</v>
      </c>
      <c r="K186" s="38"/>
      <c r="L186" s="38"/>
      <c r="M186" s="38"/>
      <c r="N186" s="41" t="s">
        <v>82</v>
      </c>
    </row>
    <row r="187" spans="1:14" x14ac:dyDescent="0.2">
      <c r="A187" s="10"/>
      <c r="B187" s="38" t="s">
        <v>12</v>
      </c>
      <c r="C187" s="38" t="s">
        <v>42</v>
      </c>
      <c r="D187" s="38">
        <v>60</v>
      </c>
      <c r="E187" s="43" t="s">
        <v>199</v>
      </c>
      <c r="F187" s="40">
        <v>43306</v>
      </c>
      <c r="G187" s="38" t="s">
        <v>24</v>
      </c>
      <c r="H187" s="38" t="s">
        <v>193</v>
      </c>
      <c r="I187" s="38" t="s">
        <v>24</v>
      </c>
      <c r="J187" s="38" t="s">
        <v>25</v>
      </c>
      <c r="K187" s="38"/>
      <c r="L187" s="38"/>
      <c r="M187" s="38"/>
      <c r="N187" s="41" t="s">
        <v>43</v>
      </c>
    </row>
    <row r="188" spans="1:14" x14ac:dyDescent="0.2">
      <c r="A188" s="10"/>
      <c r="B188" s="38" t="s">
        <v>12</v>
      </c>
      <c r="C188" s="38" t="s">
        <v>78</v>
      </c>
      <c r="D188" s="38">
        <v>390</v>
      </c>
      <c r="E188" s="43" t="s">
        <v>199</v>
      </c>
      <c r="F188" s="40">
        <v>43306</v>
      </c>
      <c r="G188" s="38" t="s">
        <v>24</v>
      </c>
      <c r="H188" s="38" t="s">
        <v>193</v>
      </c>
      <c r="I188" s="38" t="s">
        <v>24</v>
      </c>
      <c r="J188" s="38" t="s">
        <v>25</v>
      </c>
      <c r="K188" s="38"/>
      <c r="L188" s="38"/>
      <c r="M188" s="38"/>
      <c r="N188" s="41" t="s">
        <v>79</v>
      </c>
    </row>
  </sheetData>
  <autoFilter ref="A3:N188"/>
  <sortState ref="A4:N182">
    <sortCondition ref="K4:K182"/>
    <sortCondition ref="H4:H182"/>
    <sortCondition ref="J4:J182"/>
  </sortState>
  <mergeCells count="1">
    <mergeCell ref="A1:M1"/>
  </mergeCells>
  <printOptions horizontalCentered="1"/>
  <pageMargins left="0" right="0" top="0.5" bottom="0.5" header="0" footer="0"/>
  <pageSetup paperSize="9" scale="58" orientation="portrait" cellComments="asDisplayed" r:id="rId1"/>
  <headerFooter alignWithMargins="0">
    <oddFooter>&amp;RPage &amp;P of &amp;[Pages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O176"/>
  <sheetViews>
    <sheetView showGridLines="0" zoomScale="91" zoomScaleNormal="91" workbookViewId="0">
      <pane ySplit="3" topLeftCell="A149" activePane="bottomLeft" state="frozen"/>
      <selection activeCell="B7" sqref="B7"/>
      <selection pane="bottomLeft" activeCell="A4" sqref="A4"/>
    </sheetView>
  </sheetViews>
  <sheetFormatPr defaultColWidth="9.42578125" defaultRowHeight="12.75" x14ac:dyDescent="0.2"/>
  <cols>
    <col min="1" max="1" width="11.85546875" style="8" customWidth="1"/>
    <col min="2" max="2" width="22.42578125" style="8" customWidth="1"/>
    <col min="3" max="3" width="15" style="8" customWidth="1"/>
    <col min="4" max="4" width="5.42578125" style="8" customWidth="1"/>
    <col min="5" max="5" width="7.140625" style="7" customWidth="1"/>
    <col min="6" max="6" width="12.42578125" style="16" customWidth="1"/>
    <col min="7" max="7" width="6" style="16" customWidth="1"/>
    <col min="8" max="8" width="24.5703125" style="8" bestFit="1" customWidth="1"/>
    <col min="9" max="9" width="6" style="8" customWidth="1"/>
    <col min="10" max="10" width="24" style="8" customWidth="1"/>
    <col min="11" max="11" width="3.5703125" style="8" bestFit="1" customWidth="1"/>
    <col min="12" max="12" width="14" style="8" bestFit="1" customWidth="1"/>
    <col min="13" max="13" width="42.5703125" style="8" bestFit="1" customWidth="1"/>
    <col min="14" max="14" width="14" style="15" bestFit="1" customWidth="1"/>
    <col min="15" max="15" width="9.42578125" style="7"/>
    <col min="16" max="16384" width="9.42578125" style="8"/>
  </cols>
  <sheetData>
    <row r="1" spans="1:15" s="2" customFormat="1" x14ac:dyDescent="0.2">
      <c r="A1" s="44" t="str">
        <f>"Pengiriman ( Kamis ) Tgl. "&amp;TEXT(MID(Rabu!A1,FIND(".",Rabu!A1,1)+2,17)+1,"dd mmmm yyyy")</f>
        <v>Pengiriman ( Kamis ) Tgl. 26 July 2018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6"/>
      <c r="O1" s="1"/>
    </row>
    <row r="2" spans="1:15" s="2" customFormat="1" ht="15" customHeight="1" thickBot="1" x14ac:dyDescent="0.25">
      <c r="E2" s="1"/>
      <c r="F2" s="3"/>
      <c r="G2" s="3"/>
      <c r="N2" s="6"/>
      <c r="O2" s="1"/>
    </row>
    <row r="3" spans="1:15" s="2" customFormat="1" ht="13.5" thickBot="1" x14ac:dyDescent="0.25">
      <c r="A3" s="4" t="s">
        <v>9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19"/>
      <c r="H3" s="20" t="s">
        <v>5</v>
      </c>
      <c r="I3" s="19"/>
      <c r="J3" s="20" t="s">
        <v>6</v>
      </c>
      <c r="K3" s="5" t="s">
        <v>7</v>
      </c>
      <c r="L3" s="5" t="s">
        <v>10</v>
      </c>
      <c r="M3" s="5" t="s">
        <v>8</v>
      </c>
      <c r="N3" s="5" t="s">
        <v>11</v>
      </c>
      <c r="O3" s="1"/>
    </row>
    <row r="4" spans="1:15" x14ac:dyDescent="0.2">
      <c r="A4" s="10"/>
      <c r="B4" s="11" t="s">
        <v>12</v>
      </c>
      <c r="C4" s="11" t="s">
        <v>21</v>
      </c>
      <c r="D4" s="11">
        <v>207</v>
      </c>
      <c r="E4" s="7" t="s">
        <v>199</v>
      </c>
      <c r="F4" s="13">
        <v>43307</v>
      </c>
      <c r="G4" s="13" t="s">
        <v>14</v>
      </c>
      <c r="H4" s="11" t="s">
        <v>15</v>
      </c>
      <c r="I4" s="11" t="s">
        <v>24</v>
      </c>
      <c r="J4" s="11" t="s">
        <v>25</v>
      </c>
      <c r="K4" s="11">
        <v>1</v>
      </c>
      <c r="L4" s="11" t="s">
        <v>195</v>
      </c>
      <c r="M4" s="11"/>
      <c r="N4" s="14" t="s">
        <v>26</v>
      </c>
    </row>
    <row r="5" spans="1:15" x14ac:dyDescent="0.2">
      <c r="A5" s="10"/>
      <c r="B5" s="11" t="s">
        <v>12</v>
      </c>
      <c r="C5" s="11" t="s">
        <v>31</v>
      </c>
      <c r="D5" s="11">
        <v>155</v>
      </c>
      <c r="E5" s="7" t="s">
        <v>199</v>
      </c>
      <c r="F5" s="13">
        <v>43307</v>
      </c>
      <c r="G5" s="13" t="s">
        <v>14</v>
      </c>
      <c r="H5" s="11" t="s">
        <v>15</v>
      </c>
      <c r="I5" s="11" t="s">
        <v>24</v>
      </c>
      <c r="J5" s="11" t="s">
        <v>25</v>
      </c>
      <c r="K5" s="11">
        <v>1</v>
      </c>
      <c r="L5" s="11" t="s">
        <v>195</v>
      </c>
      <c r="M5" s="11"/>
      <c r="N5" s="14" t="s">
        <v>32</v>
      </c>
    </row>
    <row r="6" spans="1:15" x14ac:dyDescent="0.2">
      <c r="A6" s="10"/>
      <c r="B6" s="11" t="s">
        <v>12</v>
      </c>
      <c r="C6" s="11" t="s">
        <v>31</v>
      </c>
      <c r="D6" s="11">
        <v>205</v>
      </c>
      <c r="E6" s="7" t="s">
        <v>199</v>
      </c>
      <c r="F6" s="13">
        <v>43307</v>
      </c>
      <c r="G6" s="13" t="s">
        <v>14</v>
      </c>
      <c r="H6" s="11" t="s">
        <v>15</v>
      </c>
      <c r="I6" s="11" t="s">
        <v>24</v>
      </c>
      <c r="J6" s="11" t="s">
        <v>25</v>
      </c>
      <c r="K6" s="11">
        <v>2</v>
      </c>
      <c r="L6" s="11" t="s">
        <v>194</v>
      </c>
      <c r="M6" s="11"/>
      <c r="N6" s="14" t="s">
        <v>32</v>
      </c>
    </row>
    <row r="7" spans="1:15" x14ac:dyDescent="0.2">
      <c r="A7" s="10"/>
      <c r="B7" s="11" t="s">
        <v>33</v>
      </c>
      <c r="C7" s="11" t="s">
        <v>34</v>
      </c>
      <c r="D7" s="11">
        <v>182</v>
      </c>
      <c r="E7" s="7" t="s">
        <v>199</v>
      </c>
      <c r="F7" s="13">
        <v>43307</v>
      </c>
      <c r="G7" s="13" t="s">
        <v>14</v>
      </c>
      <c r="H7" s="11" t="s">
        <v>15</v>
      </c>
      <c r="I7" s="11" t="s">
        <v>24</v>
      </c>
      <c r="J7" s="11" t="s">
        <v>25</v>
      </c>
      <c r="K7" s="11">
        <v>2</v>
      </c>
      <c r="L7" s="11" t="s">
        <v>194</v>
      </c>
      <c r="M7" s="11"/>
      <c r="N7" s="14" t="s">
        <v>35</v>
      </c>
    </row>
    <row r="8" spans="1:15" x14ac:dyDescent="0.2">
      <c r="A8" s="10"/>
      <c r="B8" s="11" t="s">
        <v>33</v>
      </c>
      <c r="C8" s="11" t="s">
        <v>36</v>
      </c>
      <c r="D8" s="11">
        <v>100</v>
      </c>
      <c r="E8" s="7" t="s">
        <v>199</v>
      </c>
      <c r="F8" s="13">
        <v>43307</v>
      </c>
      <c r="G8" s="13" t="s">
        <v>14</v>
      </c>
      <c r="H8" s="11" t="s">
        <v>15</v>
      </c>
      <c r="I8" s="11" t="s">
        <v>24</v>
      </c>
      <c r="J8" s="11" t="s">
        <v>25</v>
      </c>
      <c r="K8" s="11">
        <v>2</v>
      </c>
      <c r="L8" s="11" t="s">
        <v>194</v>
      </c>
      <c r="M8" s="11"/>
      <c r="N8" s="14" t="s">
        <v>37</v>
      </c>
    </row>
    <row r="9" spans="1:15" x14ac:dyDescent="0.2">
      <c r="A9" s="10"/>
      <c r="B9" s="11" t="s">
        <v>12</v>
      </c>
      <c r="C9" s="11" t="s">
        <v>13</v>
      </c>
      <c r="D9" s="11">
        <v>51</v>
      </c>
      <c r="E9" s="7" t="s">
        <v>199</v>
      </c>
      <c r="F9" s="13">
        <v>43307</v>
      </c>
      <c r="G9" s="13" t="s">
        <v>14</v>
      </c>
      <c r="H9" s="11" t="s">
        <v>15</v>
      </c>
      <c r="I9" s="11" t="s">
        <v>16</v>
      </c>
      <c r="J9" s="11" t="s">
        <v>17</v>
      </c>
      <c r="K9" s="11">
        <v>2</v>
      </c>
      <c r="L9" s="11" t="s">
        <v>194</v>
      </c>
      <c r="M9" s="11"/>
      <c r="N9" s="14" t="s">
        <v>18</v>
      </c>
    </row>
    <row r="10" spans="1:15" x14ac:dyDescent="0.2">
      <c r="A10" s="10"/>
      <c r="B10" s="11" t="s">
        <v>12</v>
      </c>
      <c r="C10" s="11" t="s">
        <v>19</v>
      </c>
      <c r="D10" s="11">
        <v>300</v>
      </c>
      <c r="E10" s="7" t="s">
        <v>199</v>
      </c>
      <c r="F10" s="13">
        <v>43307</v>
      </c>
      <c r="G10" s="13" t="s">
        <v>14</v>
      </c>
      <c r="H10" s="11" t="s">
        <v>15</v>
      </c>
      <c r="I10" s="11" t="s">
        <v>16</v>
      </c>
      <c r="J10" s="11" t="s">
        <v>17</v>
      </c>
      <c r="K10" s="11">
        <v>2</v>
      </c>
      <c r="L10" s="11" t="s">
        <v>194</v>
      </c>
      <c r="M10" s="11"/>
      <c r="N10" s="14" t="s">
        <v>20</v>
      </c>
    </row>
    <row r="11" spans="1:15" x14ac:dyDescent="0.2">
      <c r="A11" s="10"/>
      <c r="B11" s="11" t="s">
        <v>12</v>
      </c>
      <c r="C11" s="11" t="s">
        <v>13</v>
      </c>
      <c r="D11" s="11">
        <v>729</v>
      </c>
      <c r="E11" s="7" t="s">
        <v>199</v>
      </c>
      <c r="F11" s="13">
        <v>43307</v>
      </c>
      <c r="G11" s="13" t="s">
        <v>14</v>
      </c>
      <c r="H11" s="11" t="s">
        <v>15</v>
      </c>
      <c r="I11" s="11" t="s">
        <v>16</v>
      </c>
      <c r="J11" s="11" t="s">
        <v>17</v>
      </c>
      <c r="K11" s="11">
        <v>3</v>
      </c>
      <c r="L11" s="11" t="s">
        <v>194</v>
      </c>
      <c r="M11" s="11"/>
      <c r="N11" s="14" t="s">
        <v>18</v>
      </c>
    </row>
    <row r="12" spans="1:15" x14ac:dyDescent="0.2">
      <c r="A12" s="10"/>
      <c r="B12" s="11" t="s">
        <v>12</v>
      </c>
      <c r="C12" s="11" t="s">
        <v>21</v>
      </c>
      <c r="D12" s="11">
        <v>166</v>
      </c>
      <c r="E12" s="7" t="s">
        <v>199</v>
      </c>
      <c r="F12" s="13">
        <v>43307</v>
      </c>
      <c r="G12" s="13" t="s">
        <v>46</v>
      </c>
      <c r="H12" s="11" t="s">
        <v>169</v>
      </c>
      <c r="I12" s="11" t="s">
        <v>24</v>
      </c>
      <c r="J12" s="11" t="s">
        <v>25</v>
      </c>
      <c r="K12" s="11">
        <v>4</v>
      </c>
      <c r="L12" s="11" t="s">
        <v>194</v>
      </c>
      <c r="M12" s="11"/>
      <c r="N12" s="14" t="s">
        <v>26</v>
      </c>
    </row>
    <row r="13" spans="1:15" x14ac:dyDescent="0.2">
      <c r="A13" s="10"/>
      <c r="B13" s="11" t="s">
        <v>12</v>
      </c>
      <c r="C13" s="11" t="s">
        <v>27</v>
      </c>
      <c r="D13" s="11">
        <v>160</v>
      </c>
      <c r="E13" s="7" t="s">
        <v>199</v>
      </c>
      <c r="F13" s="13">
        <v>43307</v>
      </c>
      <c r="G13" s="13" t="s">
        <v>46</v>
      </c>
      <c r="H13" s="11" t="s">
        <v>169</v>
      </c>
      <c r="I13" s="11" t="s">
        <v>24</v>
      </c>
      <c r="J13" s="11" t="s">
        <v>25</v>
      </c>
      <c r="K13" s="11">
        <v>4</v>
      </c>
      <c r="L13" s="11" t="s">
        <v>194</v>
      </c>
      <c r="M13" s="11"/>
      <c r="N13" s="14" t="s">
        <v>28</v>
      </c>
    </row>
    <row r="14" spans="1:15" x14ac:dyDescent="0.2">
      <c r="A14" s="10"/>
      <c r="B14" s="11" t="s">
        <v>92</v>
      </c>
      <c r="C14" s="11" t="s">
        <v>109</v>
      </c>
      <c r="D14" s="11">
        <v>83</v>
      </c>
      <c r="E14" s="7" t="s">
        <v>199</v>
      </c>
      <c r="F14" s="13">
        <v>43307</v>
      </c>
      <c r="G14" s="13" t="s">
        <v>46</v>
      </c>
      <c r="H14" s="11" t="s">
        <v>169</v>
      </c>
      <c r="I14" s="11" t="s">
        <v>24</v>
      </c>
      <c r="J14" s="11" t="s">
        <v>25</v>
      </c>
      <c r="K14" s="11">
        <v>4</v>
      </c>
      <c r="L14" s="11" t="s">
        <v>194</v>
      </c>
      <c r="M14" s="11"/>
      <c r="N14" s="14" t="s">
        <v>110</v>
      </c>
    </row>
    <row r="15" spans="1:15" x14ac:dyDescent="0.2">
      <c r="A15" s="10"/>
      <c r="B15" s="11" t="s">
        <v>92</v>
      </c>
      <c r="C15" s="11" t="s">
        <v>96</v>
      </c>
      <c r="D15" s="11">
        <v>157</v>
      </c>
      <c r="E15" s="7" t="s">
        <v>199</v>
      </c>
      <c r="F15" s="13">
        <v>43307</v>
      </c>
      <c r="G15" s="13" t="s">
        <v>46</v>
      </c>
      <c r="H15" s="11" t="s">
        <v>169</v>
      </c>
      <c r="I15" s="11" t="s">
        <v>24</v>
      </c>
      <c r="J15" s="11" t="s">
        <v>25</v>
      </c>
      <c r="K15" s="11">
        <v>4</v>
      </c>
      <c r="L15" s="11" t="s">
        <v>194</v>
      </c>
      <c r="M15" s="11"/>
      <c r="N15" s="14" t="s">
        <v>97</v>
      </c>
    </row>
    <row r="16" spans="1:15" x14ac:dyDescent="0.2">
      <c r="A16" s="10"/>
      <c r="B16" s="11" t="s">
        <v>12</v>
      </c>
      <c r="C16" s="11" t="s">
        <v>49</v>
      </c>
      <c r="D16" s="11">
        <v>90</v>
      </c>
      <c r="E16" s="7" t="s">
        <v>199</v>
      </c>
      <c r="F16" s="13">
        <v>43307</v>
      </c>
      <c r="G16" s="13" t="s">
        <v>46</v>
      </c>
      <c r="H16" s="11" t="s">
        <v>169</v>
      </c>
      <c r="I16" s="11" t="s">
        <v>24</v>
      </c>
      <c r="J16" s="11" t="s">
        <v>25</v>
      </c>
      <c r="K16" s="11">
        <v>4</v>
      </c>
      <c r="L16" s="11" t="s">
        <v>194</v>
      </c>
      <c r="M16" s="11"/>
      <c r="N16" s="14" t="s">
        <v>50</v>
      </c>
    </row>
    <row r="17" spans="1:14" x14ac:dyDescent="0.2">
      <c r="A17" s="10"/>
      <c r="B17" s="11" t="s">
        <v>12</v>
      </c>
      <c r="C17" s="11" t="s">
        <v>51</v>
      </c>
      <c r="D17" s="11">
        <v>71</v>
      </c>
      <c r="E17" s="7" t="s">
        <v>199</v>
      </c>
      <c r="F17" s="13">
        <v>43307</v>
      </c>
      <c r="G17" s="13" t="s">
        <v>46</v>
      </c>
      <c r="H17" s="11" t="s">
        <v>169</v>
      </c>
      <c r="I17" s="11" t="s">
        <v>24</v>
      </c>
      <c r="J17" s="11" t="s">
        <v>25</v>
      </c>
      <c r="K17" s="11">
        <v>4</v>
      </c>
      <c r="L17" s="11" t="s">
        <v>194</v>
      </c>
      <c r="M17" s="11"/>
      <c r="N17" s="14" t="s">
        <v>52</v>
      </c>
    </row>
    <row r="18" spans="1:14" x14ac:dyDescent="0.2">
      <c r="A18" s="10"/>
      <c r="B18" s="11" t="s">
        <v>33</v>
      </c>
      <c r="C18" s="11" t="s">
        <v>34</v>
      </c>
      <c r="D18" s="11">
        <v>82</v>
      </c>
      <c r="E18" s="7" t="s">
        <v>199</v>
      </c>
      <c r="F18" s="13">
        <v>43307</v>
      </c>
      <c r="G18" s="13" t="s">
        <v>46</v>
      </c>
      <c r="H18" s="11" t="s">
        <v>169</v>
      </c>
      <c r="I18" s="11" t="s">
        <v>24</v>
      </c>
      <c r="J18" s="11" t="s">
        <v>25</v>
      </c>
      <c r="K18" s="11">
        <v>4</v>
      </c>
      <c r="L18" s="11" t="s">
        <v>194</v>
      </c>
      <c r="M18" s="11"/>
      <c r="N18" s="14" t="s">
        <v>35</v>
      </c>
    </row>
    <row r="19" spans="1:14" x14ac:dyDescent="0.2">
      <c r="A19" s="10"/>
      <c r="B19" s="11" t="s">
        <v>12</v>
      </c>
      <c r="C19" s="11" t="s">
        <v>47</v>
      </c>
      <c r="D19" s="11">
        <v>10</v>
      </c>
      <c r="E19" s="7" t="s">
        <v>199</v>
      </c>
      <c r="F19" s="13">
        <v>43307</v>
      </c>
      <c r="G19" s="13" t="s">
        <v>46</v>
      </c>
      <c r="H19" s="11" t="s">
        <v>169</v>
      </c>
      <c r="I19" s="11" t="s">
        <v>16</v>
      </c>
      <c r="J19" s="11" t="s">
        <v>17</v>
      </c>
      <c r="K19" s="11">
        <v>5</v>
      </c>
      <c r="L19" s="11" t="s">
        <v>194</v>
      </c>
      <c r="M19" s="11"/>
      <c r="N19" s="14" t="s">
        <v>48</v>
      </c>
    </row>
    <row r="20" spans="1:14" x14ac:dyDescent="0.2">
      <c r="A20" s="10"/>
      <c r="B20" s="11" t="s">
        <v>12</v>
      </c>
      <c r="C20" s="11" t="s">
        <v>38</v>
      </c>
      <c r="D20" s="11">
        <v>723</v>
      </c>
      <c r="E20" s="7" t="s">
        <v>199</v>
      </c>
      <c r="F20" s="13">
        <v>43307</v>
      </c>
      <c r="G20" s="13" t="s">
        <v>46</v>
      </c>
      <c r="H20" s="11" t="s">
        <v>169</v>
      </c>
      <c r="I20" s="11" t="s">
        <v>16</v>
      </c>
      <c r="J20" s="11" t="s">
        <v>17</v>
      </c>
      <c r="K20" s="11">
        <v>5</v>
      </c>
      <c r="L20" s="11" t="s">
        <v>194</v>
      </c>
      <c r="M20" s="11"/>
      <c r="N20" s="14" t="s">
        <v>39</v>
      </c>
    </row>
    <row r="21" spans="1:14" x14ac:dyDescent="0.2">
      <c r="A21" s="10"/>
      <c r="B21" s="11" t="s">
        <v>12</v>
      </c>
      <c r="C21" s="11" t="s">
        <v>40</v>
      </c>
      <c r="D21" s="11">
        <v>96</v>
      </c>
      <c r="E21" s="7" t="s">
        <v>199</v>
      </c>
      <c r="F21" s="13">
        <v>43307</v>
      </c>
      <c r="G21" s="13" t="s">
        <v>46</v>
      </c>
      <c r="H21" s="11" t="s">
        <v>169</v>
      </c>
      <c r="I21" s="11" t="s">
        <v>16</v>
      </c>
      <c r="J21" s="11" t="s">
        <v>17</v>
      </c>
      <c r="K21" s="11">
        <v>5</v>
      </c>
      <c r="L21" s="11" t="s">
        <v>194</v>
      </c>
      <c r="M21" s="11"/>
      <c r="N21" s="14" t="s">
        <v>41</v>
      </c>
    </row>
    <row r="22" spans="1:14" x14ac:dyDescent="0.2">
      <c r="A22" s="10"/>
      <c r="B22" s="11" t="s">
        <v>12</v>
      </c>
      <c r="C22" s="11" t="s">
        <v>57</v>
      </c>
      <c r="D22" s="11">
        <v>40</v>
      </c>
      <c r="E22" s="7" t="s">
        <v>199</v>
      </c>
      <c r="F22" s="13">
        <v>43307</v>
      </c>
      <c r="G22" s="13" t="s">
        <v>46</v>
      </c>
      <c r="H22" s="11" t="s">
        <v>169</v>
      </c>
      <c r="I22" s="11" t="s">
        <v>16</v>
      </c>
      <c r="J22" s="11" t="s">
        <v>17</v>
      </c>
      <c r="K22" s="11">
        <v>5</v>
      </c>
      <c r="L22" s="11" t="s">
        <v>194</v>
      </c>
      <c r="M22" s="11"/>
      <c r="N22" s="14" t="s">
        <v>58</v>
      </c>
    </row>
    <row r="23" spans="1:14" x14ac:dyDescent="0.2">
      <c r="A23" s="10"/>
      <c r="B23" s="11" t="s">
        <v>12</v>
      </c>
      <c r="C23" s="11" t="s">
        <v>42</v>
      </c>
      <c r="D23" s="11">
        <v>150</v>
      </c>
      <c r="E23" s="7" t="s">
        <v>199</v>
      </c>
      <c r="F23" s="13">
        <v>43307</v>
      </c>
      <c r="G23" s="13" t="s">
        <v>46</v>
      </c>
      <c r="H23" s="11" t="s">
        <v>169</v>
      </c>
      <c r="I23" s="11" t="s">
        <v>16</v>
      </c>
      <c r="J23" s="11" t="s">
        <v>17</v>
      </c>
      <c r="K23" s="11">
        <v>5</v>
      </c>
      <c r="L23" s="11" t="s">
        <v>194</v>
      </c>
      <c r="M23" s="11"/>
      <c r="N23" s="14" t="s">
        <v>43</v>
      </c>
    </row>
    <row r="24" spans="1:14" x14ac:dyDescent="0.2">
      <c r="A24" s="10"/>
      <c r="B24" s="11" t="s">
        <v>12</v>
      </c>
      <c r="C24" s="11" t="s">
        <v>21</v>
      </c>
      <c r="D24" s="11">
        <v>145</v>
      </c>
      <c r="E24" s="7" t="s">
        <v>199</v>
      </c>
      <c r="F24" s="13">
        <v>43307</v>
      </c>
      <c r="G24" s="13" t="s">
        <v>111</v>
      </c>
      <c r="H24" s="11" t="s">
        <v>184</v>
      </c>
      <c r="I24" s="11" t="s">
        <v>24</v>
      </c>
      <c r="J24" s="11" t="s">
        <v>25</v>
      </c>
      <c r="K24" s="11">
        <v>6</v>
      </c>
      <c r="L24" s="11" t="s">
        <v>194</v>
      </c>
      <c r="M24" s="11"/>
      <c r="N24" s="14" t="s">
        <v>26</v>
      </c>
    </row>
    <row r="25" spans="1:14" x14ac:dyDescent="0.2">
      <c r="A25" s="10"/>
      <c r="B25" s="11" t="s">
        <v>12</v>
      </c>
      <c r="C25" s="11" t="s">
        <v>27</v>
      </c>
      <c r="D25" s="11">
        <v>151</v>
      </c>
      <c r="E25" s="7" t="s">
        <v>199</v>
      </c>
      <c r="F25" s="13">
        <v>43307</v>
      </c>
      <c r="G25" s="13" t="s">
        <v>111</v>
      </c>
      <c r="H25" s="11" t="s">
        <v>184</v>
      </c>
      <c r="I25" s="11" t="s">
        <v>24</v>
      </c>
      <c r="J25" s="11" t="s">
        <v>25</v>
      </c>
      <c r="K25" s="11">
        <v>6</v>
      </c>
      <c r="L25" s="11" t="s">
        <v>194</v>
      </c>
      <c r="M25" s="11"/>
      <c r="N25" s="14" t="s">
        <v>28</v>
      </c>
    </row>
    <row r="26" spans="1:14" x14ac:dyDescent="0.2">
      <c r="A26" s="10"/>
      <c r="B26" s="11" t="s">
        <v>12</v>
      </c>
      <c r="C26" s="11" t="s">
        <v>19</v>
      </c>
      <c r="D26" s="11">
        <v>90</v>
      </c>
      <c r="E26" s="7" t="s">
        <v>199</v>
      </c>
      <c r="F26" s="13">
        <v>43307</v>
      </c>
      <c r="G26" s="13" t="s">
        <v>111</v>
      </c>
      <c r="H26" s="11" t="s">
        <v>184</v>
      </c>
      <c r="I26" s="11" t="s">
        <v>24</v>
      </c>
      <c r="J26" s="11" t="s">
        <v>25</v>
      </c>
      <c r="K26" s="11">
        <v>6</v>
      </c>
      <c r="L26" s="11" t="s">
        <v>194</v>
      </c>
      <c r="M26" s="11"/>
      <c r="N26" s="14" t="s">
        <v>20</v>
      </c>
    </row>
    <row r="27" spans="1:14" x14ac:dyDescent="0.2">
      <c r="A27" s="10"/>
      <c r="B27" s="11" t="s">
        <v>92</v>
      </c>
      <c r="C27" s="11" t="s">
        <v>96</v>
      </c>
      <c r="D27" s="11">
        <v>24</v>
      </c>
      <c r="E27" s="7" t="s">
        <v>199</v>
      </c>
      <c r="F27" s="13">
        <v>43307</v>
      </c>
      <c r="G27" s="13" t="s">
        <v>111</v>
      </c>
      <c r="H27" s="11" t="s">
        <v>184</v>
      </c>
      <c r="I27" s="11" t="s">
        <v>24</v>
      </c>
      <c r="J27" s="11" t="s">
        <v>25</v>
      </c>
      <c r="K27" s="11">
        <v>6</v>
      </c>
      <c r="L27" s="11" t="s">
        <v>194</v>
      </c>
      <c r="M27" s="11"/>
      <c r="N27" s="14" t="s">
        <v>97</v>
      </c>
    </row>
    <row r="28" spans="1:14" x14ac:dyDescent="0.2">
      <c r="A28" s="10"/>
      <c r="B28" s="11" t="s">
        <v>12</v>
      </c>
      <c r="C28" s="11" t="s">
        <v>49</v>
      </c>
      <c r="D28" s="11">
        <v>156</v>
      </c>
      <c r="E28" s="7" t="s">
        <v>199</v>
      </c>
      <c r="F28" s="13">
        <v>43307</v>
      </c>
      <c r="G28" s="13" t="s">
        <v>111</v>
      </c>
      <c r="H28" s="11" t="s">
        <v>184</v>
      </c>
      <c r="I28" s="11" t="s">
        <v>24</v>
      </c>
      <c r="J28" s="11" t="s">
        <v>25</v>
      </c>
      <c r="K28" s="11">
        <v>6</v>
      </c>
      <c r="L28" s="11" t="s">
        <v>194</v>
      </c>
      <c r="M28" s="11"/>
      <c r="N28" s="14" t="s">
        <v>50</v>
      </c>
    </row>
    <row r="29" spans="1:14" x14ac:dyDescent="0.2">
      <c r="A29" s="10"/>
      <c r="B29" s="11" t="s">
        <v>33</v>
      </c>
      <c r="C29" s="11" t="s">
        <v>34</v>
      </c>
      <c r="D29" s="11">
        <v>166</v>
      </c>
      <c r="E29" s="7" t="s">
        <v>199</v>
      </c>
      <c r="F29" s="13">
        <v>43307</v>
      </c>
      <c r="G29" s="13" t="s">
        <v>111</v>
      </c>
      <c r="H29" s="11" t="s">
        <v>184</v>
      </c>
      <c r="I29" s="11" t="s">
        <v>24</v>
      </c>
      <c r="J29" s="11" t="s">
        <v>25</v>
      </c>
      <c r="K29" s="11">
        <v>6</v>
      </c>
      <c r="L29" s="11" t="s">
        <v>194</v>
      </c>
      <c r="M29" s="11"/>
      <c r="N29" s="14" t="s">
        <v>35</v>
      </c>
    </row>
    <row r="30" spans="1:14" x14ac:dyDescent="0.2">
      <c r="A30" s="10"/>
      <c r="B30" s="11" t="s">
        <v>33</v>
      </c>
      <c r="C30" s="11" t="s">
        <v>36</v>
      </c>
      <c r="D30" s="11">
        <v>85</v>
      </c>
      <c r="E30" s="7" t="s">
        <v>199</v>
      </c>
      <c r="F30" s="13">
        <v>43307</v>
      </c>
      <c r="G30" s="13" t="s">
        <v>111</v>
      </c>
      <c r="H30" s="11" t="s">
        <v>184</v>
      </c>
      <c r="I30" s="11" t="s">
        <v>24</v>
      </c>
      <c r="J30" s="11" t="s">
        <v>25</v>
      </c>
      <c r="K30" s="11">
        <v>6</v>
      </c>
      <c r="L30" s="11" t="s">
        <v>194</v>
      </c>
      <c r="M30" s="11"/>
      <c r="N30" s="14" t="s">
        <v>37</v>
      </c>
    </row>
    <row r="31" spans="1:14" x14ac:dyDescent="0.2">
      <c r="A31" s="10"/>
      <c r="B31" s="11" t="s">
        <v>12</v>
      </c>
      <c r="C31" s="11" t="s">
        <v>19</v>
      </c>
      <c r="D31" s="11">
        <v>333</v>
      </c>
      <c r="E31" s="7" t="s">
        <v>199</v>
      </c>
      <c r="F31" s="13">
        <v>43307</v>
      </c>
      <c r="G31" s="13" t="s">
        <v>111</v>
      </c>
      <c r="H31" s="11" t="s">
        <v>184</v>
      </c>
      <c r="I31" s="11" t="s">
        <v>16</v>
      </c>
      <c r="J31" s="11" t="s">
        <v>17</v>
      </c>
      <c r="K31" s="11">
        <v>7</v>
      </c>
      <c r="L31" s="11" t="s">
        <v>194</v>
      </c>
      <c r="M31" s="11"/>
      <c r="N31" s="14" t="s">
        <v>20</v>
      </c>
    </row>
    <row r="32" spans="1:14" x14ac:dyDescent="0.2">
      <c r="A32" s="10"/>
      <c r="B32" s="11" t="s">
        <v>12</v>
      </c>
      <c r="C32" s="11" t="s">
        <v>42</v>
      </c>
      <c r="D32" s="11">
        <v>805</v>
      </c>
      <c r="E32" s="7" t="s">
        <v>199</v>
      </c>
      <c r="F32" s="13">
        <v>43307</v>
      </c>
      <c r="G32" s="13" t="s">
        <v>111</v>
      </c>
      <c r="H32" s="11" t="s">
        <v>184</v>
      </c>
      <c r="I32" s="11" t="s">
        <v>16</v>
      </c>
      <c r="J32" s="11" t="s">
        <v>17</v>
      </c>
      <c r="K32" s="11">
        <v>7</v>
      </c>
      <c r="L32" s="11" t="s">
        <v>194</v>
      </c>
      <c r="M32" s="11"/>
      <c r="N32" s="14" t="s">
        <v>43</v>
      </c>
    </row>
    <row r="33" spans="1:14" x14ac:dyDescent="0.2">
      <c r="A33" s="10"/>
      <c r="B33" s="11" t="s">
        <v>12</v>
      </c>
      <c r="C33" s="11" t="s">
        <v>44</v>
      </c>
      <c r="D33" s="11">
        <v>11</v>
      </c>
      <c r="E33" s="7" t="s">
        <v>199</v>
      </c>
      <c r="F33" s="13">
        <v>43307</v>
      </c>
      <c r="G33" s="13" t="s">
        <v>111</v>
      </c>
      <c r="H33" s="11" t="s">
        <v>184</v>
      </c>
      <c r="I33" s="11" t="s">
        <v>16</v>
      </c>
      <c r="J33" s="11" t="s">
        <v>17</v>
      </c>
      <c r="K33" s="11">
        <v>8</v>
      </c>
      <c r="L33" s="11" t="s">
        <v>194</v>
      </c>
      <c r="M33" s="11"/>
      <c r="N33" s="14" t="s">
        <v>45</v>
      </c>
    </row>
    <row r="34" spans="1:14" x14ac:dyDescent="0.2">
      <c r="A34" s="10"/>
      <c r="B34" s="11" t="s">
        <v>12</v>
      </c>
      <c r="C34" s="11" t="s">
        <v>38</v>
      </c>
      <c r="D34" s="11">
        <v>96</v>
      </c>
      <c r="E34" s="7" t="s">
        <v>199</v>
      </c>
      <c r="F34" s="13">
        <v>43307</v>
      </c>
      <c r="G34" s="13" t="s">
        <v>111</v>
      </c>
      <c r="H34" s="11" t="s">
        <v>184</v>
      </c>
      <c r="I34" s="11" t="s">
        <v>16</v>
      </c>
      <c r="J34" s="11" t="s">
        <v>17</v>
      </c>
      <c r="K34" s="11">
        <v>8</v>
      </c>
      <c r="L34" s="11" t="s">
        <v>194</v>
      </c>
      <c r="M34" s="11"/>
      <c r="N34" s="14" t="s">
        <v>39</v>
      </c>
    </row>
    <row r="35" spans="1:14" x14ac:dyDescent="0.2">
      <c r="A35" s="10"/>
      <c r="B35" s="11" t="s">
        <v>12</v>
      </c>
      <c r="C35" s="11" t="s">
        <v>19</v>
      </c>
      <c r="D35" s="11">
        <v>481</v>
      </c>
      <c r="E35" s="7" t="s">
        <v>199</v>
      </c>
      <c r="F35" s="13">
        <v>43307</v>
      </c>
      <c r="G35" s="13" t="s">
        <v>111</v>
      </c>
      <c r="H35" s="11" t="s">
        <v>184</v>
      </c>
      <c r="I35" s="11" t="s">
        <v>16</v>
      </c>
      <c r="J35" s="11" t="s">
        <v>17</v>
      </c>
      <c r="K35" s="11">
        <v>8</v>
      </c>
      <c r="L35" s="11" t="s">
        <v>194</v>
      </c>
      <c r="M35" s="11"/>
      <c r="N35" s="14" t="s">
        <v>20</v>
      </c>
    </row>
    <row r="36" spans="1:14" x14ac:dyDescent="0.2">
      <c r="A36" s="10"/>
      <c r="B36" s="11" t="s">
        <v>12</v>
      </c>
      <c r="C36" s="11" t="s">
        <v>40</v>
      </c>
      <c r="D36" s="11">
        <v>256</v>
      </c>
      <c r="E36" s="7" t="s">
        <v>199</v>
      </c>
      <c r="F36" s="13">
        <v>43307</v>
      </c>
      <c r="G36" s="13" t="s">
        <v>111</v>
      </c>
      <c r="H36" s="11" t="s">
        <v>184</v>
      </c>
      <c r="I36" s="11" t="s">
        <v>16</v>
      </c>
      <c r="J36" s="11" t="s">
        <v>17</v>
      </c>
      <c r="K36" s="11">
        <v>8</v>
      </c>
      <c r="L36" s="11" t="s">
        <v>194</v>
      </c>
      <c r="M36" s="11"/>
      <c r="N36" s="14" t="s">
        <v>41</v>
      </c>
    </row>
    <row r="37" spans="1:14" x14ac:dyDescent="0.2">
      <c r="A37" s="10"/>
      <c r="B37" s="11" t="s">
        <v>12</v>
      </c>
      <c r="C37" s="11" t="s">
        <v>80</v>
      </c>
      <c r="D37" s="11">
        <v>35</v>
      </c>
      <c r="E37" s="7" t="s">
        <v>199</v>
      </c>
      <c r="F37" s="13">
        <v>43307</v>
      </c>
      <c r="G37" s="13" t="s">
        <v>111</v>
      </c>
      <c r="H37" s="11" t="s">
        <v>184</v>
      </c>
      <c r="I37" s="11" t="s">
        <v>16</v>
      </c>
      <c r="J37" s="11" t="s">
        <v>17</v>
      </c>
      <c r="K37" s="11">
        <v>8</v>
      </c>
      <c r="L37" s="11" t="s">
        <v>194</v>
      </c>
      <c r="M37" s="11"/>
      <c r="N37" s="14" t="s">
        <v>82</v>
      </c>
    </row>
    <row r="38" spans="1:14" x14ac:dyDescent="0.2">
      <c r="A38" s="10"/>
      <c r="B38" s="11" t="s">
        <v>12</v>
      </c>
      <c r="C38" s="11" t="s">
        <v>38</v>
      </c>
      <c r="D38" s="11">
        <v>24</v>
      </c>
      <c r="E38" s="7" t="s">
        <v>199</v>
      </c>
      <c r="F38" s="13">
        <v>43307</v>
      </c>
      <c r="G38" s="13" t="s">
        <v>55</v>
      </c>
      <c r="H38" s="11" t="s">
        <v>170</v>
      </c>
      <c r="I38" s="11" t="s">
        <v>16</v>
      </c>
      <c r="J38" s="11" t="s">
        <v>17</v>
      </c>
      <c r="K38" s="11">
        <v>9</v>
      </c>
      <c r="L38" s="11" t="s">
        <v>56</v>
      </c>
      <c r="M38" s="11"/>
      <c r="N38" s="14" t="s">
        <v>39</v>
      </c>
    </row>
    <row r="39" spans="1:14" x14ac:dyDescent="0.2">
      <c r="A39" s="10"/>
      <c r="B39" s="11" t="s">
        <v>12</v>
      </c>
      <c r="C39" s="11" t="s">
        <v>19</v>
      </c>
      <c r="D39" s="11">
        <v>390</v>
      </c>
      <c r="E39" s="7" t="s">
        <v>199</v>
      </c>
      <c r="F39" s="13">
        <v>43307</v>
      </c>
      <c r="G39" s="13" t="s">
        <v>55</v>
      </c>
      <c r="H39" s="11" t="s">
        <v>170</v>
      </c>
      <c r="I39" s="11" t="s">
        <v>16</v>
      </c>
      <c r="J39" s="11" t="s">
        <v>17</v>
      </c>
      <c r="K39" s="11">
        <v>9</v>
      </c>
      <c r="L39" s="11" t="s">
        <v>56</v>
      </c>
      <c r="M39" s="11"/>
      <c r="N39" s="14" t="s">
        <v>20</v>
      </c>
    </row>
    <row r="40" spans="1:14" x14ac:dyDescent="0.2">
      <c r="A40" s="10"/>
      <c r="B40" s="11" t="s">
        <v>12</v>
      </c>
      <c r="C40" s="11" t="s">
        <v>40</v>
      </c>
      <c r="D40" s="11">
        <v>15</v>
      </c>
      <c r="E40" s="7" t="s">
        <v>199</v>
      </c>
      <c r="F40" s="13">
        <v>43307</v>
      </c>
      <c r="G40" s="13" t="s">
        <v>55</v>
      </c>
      <c r="H40" s="11" t="s">
        <v>170</v>
      </c>
      <c r="I40" s="11" t="s">
        <v>16</v>
      </c>
      <c r="J40" s="11" t="s">
        <v>17</v>
      </c>
      <c r="K40" s="11">
        <v>9</v>
      </c>
      <c r="L40" s="11" t="s">
        <v>56</v>
      </c>
      <c r="M40" s="11"/>
      <c r="N40" s="14" t="s">
        <v>41</v>
      </c>
    </row>
    <row r="41" spans="1:14" x14ac:dyDescent="0.2">
      <c r="A41" s="10"/>
      <c r="B41" s="11" t="s">
        <v>12</v>
      </c>
      <c r="C41" s="11" t="s">
        <v>57</v>
      </c>
      <c r="D41" s="11">
        <v>80</v>
      </c>
      <c r="E41" s="7" t="s">
        <v>199</v>
      </c>
      <c r="F41" s="13">
        <v>43307</v>
      </c>
      <c r="G41" s="13" t="s">
        <v>55</v>
      </c>
      <c r="H41" s="11" t="s">
        <v>170</v>
      </c>
      <c r="I41" s="11" t="s">
        <v>16</v>
      </c>
      <c r="J41" s="11" t="s">
        <v>17</v>
      </c>
      <c r="K41" s="11">
        <v>9</v>
      </c>
      <c r="L41" s="11" t="s">
        <v>56</v>
      </c>
      <c r="M41" s="11"/>
      <c r="N41" s="14" t="s">
        <v>58</v>
      </c>
    </row>
    <row r="42" spans="1:14" x14ac:dyDescent="0.2">
      <c r="A42" s="10"/>
      <c r="B42" s="11" t="s">
        <v>12</v>
      </c>
      <c r="C42" s="11" t="s">
        <v>42</v>
      </c>
      <c r="D42" s="11">
        <v>210</v>
      </c>
      <c r="E42" s="7" t="s">
        <v>199</v>
      </c>
      <c r="F42" s="13">
        <v>43307</v>
      </c>
      <c r="G42" s="13" t="s">
        <v>55</v>
      </c>
      <c r="H42" s="11" t="s">
        <v>170</v>
      </c>
      <c r="I42" s="11" t="s">
        <v>16</v>
      </c>
      <c r="J42" s="11" t="s">
        <v>17</v>
      </c>
      <c r="K42" s="11">
        <v>9</v>
      </c>
      <c r="L42" s="11" t="s">
        <v>56</v>
      </c>
      <c r="M42" s="11"/>
      <c r="N42" s="14" t="s">
        <v>43</v>
      </c>
    </row>
    <row r="43" spans="1:14" x14ac:dyDescent="0.2">
      <c r="A43" s="10"/>
      <c r="B43" s="11" t="s">
        <v>12</v>
      </c>
      <c r="C43" s="11" t="s">
        <v>21</v>
      </c>
      <c r="D43" s="11">
        <v>28</v>
      </c>
      <c r="E43" s="7" t="s">
        <v>199</v>
      </c>
      <c r="F43" s="13">
        <v>43307</v>
      </c>
      <c r="G43" s="13" t="s">
        <v>129</v>
      </c>
      <c r="H43" s="11" t="s">
        <v>130</v>
      </c>
      <c r="I43" s="11" t="s">
        <v>24</v>
      </c>
      <c r="J43" s="11" t="s">
        <v>25</v>
      </c>
      <c r="K43" s="11">
        <v>10</v>
      </c>
      <c r="L43" s="11" t="s">
        <v>56</v>
      </c>
      <c r="M43" s="26" t="s">
        <v>128</v>
      </c>
      <c r="N43" s="14" t="s">
        <v>26</v>
      </c>
    </row>
    <row r="44" spans="1:14" x14ac:dyDescent="0.2">
      <c r="A44" s="10"/>
      <c r="B44" s="11" t="s">
        <v>12</v>
      </c>
      <c r="C44" s="11" t="s">
        <v>27</v>
      </c>
      <c r="D44" s="11">
        <v>17</v>
      </c>
      <c r="E44" s="7" t="s">
        <v>199</v>
      </c>
      <c r="F44" s="13">
        <v>43307</v>
      </c>
      <c r="G44" s="13" t="s">
        <v>129</v>
      </c>
      <c r="H44" s="11" t="s">
        <v>130</v>
      </c>
      <c r="I44" s="11" t="s">
        <v>24</v>
      </c>
      <c r="J44" s="11" t="s">
        <v>25</v>
      </c>
      <c r="K44" s="11">
        <v>10</v>
      </c>
      <c r="L44" s="11" t="s">
        <v>56</v>
      </c>
      <c r="M44" s="11" t="s">
        <v>128</v>
      </c>
      <c r="N44" s="14" t="s">
        <v>28</v>
      </c>
    </row>
    <row r="45" spans="1:14" x14ac:dyDescent="0.2">
      <c r="A45" s="10"/>
      <c r="B45" s="11" t="s">
        <v>12</v>
      </c>
      <c r="C45" s="11" t="s">
        <v>29</v>
      </c>
      <c r="D45" s="11">
        <v>8</v>
      </c>
      <c r="E45" s="7" t="s">
        <v>199</v>
      </c>
      <c r="F45" s="13">
        <v>43307</v>
      </c>
      <c r="G45" s="13" t="s">
        <v>129</v>
      </c>
      <c r="H45" s="11" t="s">
        <v>130</v>
      </c>
      <c r="I45" s="11" t="s">
        <v>24</v>
      </c>
      <c r="J45" s="11" t="s">
        <v>25</v>
      </c>
      <c r="K45" s="11">
        <v>10</v>
      </c>
      <c r="L45" s="11" t="s">
        <v>56</v>
      </c>
      <c r="M45" s="11" t="s">
        <v>128</v>
      </c>
      <c r="N45" s="14" t="s">
        <v>30</v>
      </c>
    </row>
    <row r="46" spans="1:14" x14ac:dyDescent="0.2">
      <c r="A46" s="10"/>
      <c r="B46" s="11" t="s">
        <v>92</v>
      </c>
      <c r="C46" s="11" t="s">
        <v>96</v>
      </c>
      <c r="D46" s="11">
        <v>2</v>
      </c>
      <c r="E46" s="7" t="s">
        <v>199</v>
      </c>
      <c r="F46" s="13">
        <v>43307</v>
      </c>
      <c r="G46" s="13" t="s">
        <v>129</v>
      </c>
      <c r="H46" s="11" t="s">
        <v>130</v>
      </c>
      <c r="I46" s="11" t="s">
        <v>24</v>
      </c>
      <c r="J46" s="11" t="s">
        <v>25</v>
      </c>
      <c r="K46" s="11">
        <v>10</v>
      </c>
      <c r="L46" s="11" t="s">
        <v>56</v>
      </c>
      <c r="M46" s="11" t="s">
        <v>128</v>
      </c>
      <c r="N46" s="14" t="s">
        <v>97</v>
      </c>
    </row>
    <row r="47" spans="1:14" x14ac:dyDescent="0.2">
      <c r="A47" s="10"/>
      <c r="B47" s="11" t="s">
        <v>33</v>
      </c>
      <c r="C47" s="11" t="s">
        <v>34</v>
      </c>
      <c r="D47" s="11">
        <v>20</v>
      </c>
      <c r="E47" s="7" t="s">
        <v>199</v>
      </c>
      <c r="F47" s="13">
        <v>43307</v>
      </c>
      <c r="G47" s="13" t="s">
        <v>129</v>
      </c>
      <c r="H47" s="11" t="s">
        <v>130</v>
      </c>
      <c r="I47" s="11" t="s">
        <v>24</v>
      </c>
      <c r="J47" s="11" t="s">
        <v>25</v>
      </c>
      <c r="K47" s="11">
        <v>10</v>
      </c>
      <c r="L47" s="11" t="s">
        <v>56</v>
      </c>
      <c r="M47" s="11" t="s">
        <v>128</v>
      </c>
      <c r="N47" s="14" t="s">
        <v>35</v>
      </c>
    </row>
    <row r="48" spans="1:14" x14ac:dyDescent="0.2">
      <c r="A48" s="10"/>
      <c r="B48" s="11" t="s">
        <v>33</v>
      </c>
      <c r="C48" s="11" t="s">
        <v>36</v>
      </c>
      <c r="D48" s="11">
        <v>5</v>
      </c>
      <c r="E48" s="7" t="s">
        <v>199</v>
      </c>
      <c r="F48" s="13">
        <v>43307</v>
      </c>
      <c r="G48" s="13" t="s">
        <v>129</v>
      </c>
      <c r="H48" s="11" t="s">
        <v>130</v>
      </c>
      <c r="I48" s="11" t="s">
        <v>24</v>
      </c>
      <c r="J48" s="11" t="s">
        <v>25</v>
      </c>
      <c r="K48" s="11">
        <v>10</v>
      </c>
      <c r="L48" s="11" t="s">
        <v>56</v>
      </c>
      <c r="M48" s="11" t="s">
        <v>128</v>
      </c>
      <c r="N48" s="14" t="s">
        <v>37</v>
      </c>
    </row>
    <row r="49" spans="1:14" x14ac:dyDescent="0.2">
      <c r="A49" s="10"/>
      <c r="B49" s="11" t="s">
        <v>12</v>
      </c>
      <c r="C49" s="11" t="s">
        <v>47</v>
      </c>
      <c r="D49" s="11">
        <v>3</v>
      </c>
      <c r="E49" s="7" t="s">
        <v>199</v>
      </c>
      <c r="F49" s="13">
        <v>43307</v>
      </c>
      <c r="G49" s="13" t="s">
        <v>129</v>
      </c>
      <c r="H49" s="11" t="s">
        <v>130</v>
      </c>
      <c r="I49" s="11" t="s">
        <v>16</v>
      </c>
      <c r="J49" s="11" t="s">
        <v>17</v>
      </c>
      <c r="K49" s="11">
        <v>10</v>
      </c>
      <c r="L49" s="11" t="s">
        <v>56</v>
      </c>
      <c r="M49" s="11" t="s">
        <v>128</v>
      </c>
      <c r="N49" s="14" t="s">
        <v>48</v>
      </c>
    </row>
    <row r="50" spans="1:14" x14ac:dyDescent="0.2">
      <c r="A50" s="10"/>
      <c r="B50" s="11" t="s">
        <v>12</v>
      </c>
      <c r="C50" s="11" t="s">
        <v>19</v>
      </c>
      <c r="D50" s="11">
        <v>85</v>
      </c>
      <c r="E50" s="7" t="s">
        <v>199</v>
      </c>
      <c r="F50" s="13">
        <v>43307</v>
      </c>
      <c r="G50" s="13" t="s">
        <v>129</v>
      </c>
      <c r="H50" s="11" t="s">
        <v>130</v>
      </c>
      <c r="I50" s="11" t="s">
        <v>16</v>
      </c>
      <c r="J50" s="11" t="s">
        <v>17</v>
      </c>
      <c r="K50" s="11">
        <v>10</v>
      </c>
      <c r="L50" s="11" t="s">
        <v>56</v>
      </c>
      <c r="M50" s="11" t="s">
        <v>128</v>
      </c>
      <c r="N50" s="14" t="s">
        <v>20</v>
      </c>
    </row>
    <row r="51" spans="1:14" x14ac:dyDescent="0.2">
      <c r="A51" s="10"/>
      <c r="B51" s="11" t="s">
        <v>12</v>
      </c>
      <c r="C51" s="11" t="s">
        <v>40</v>
      </c>
      <c r="D51" s="11">
        <v>43</v>
      </c>
      <c r="E51" s="7" t="s">
        <v>199</v>
      </c>
      <c r="F51" s="13">
        <v>43307</v>
      </c>
      <c r="G51" s="13" t="s">
        <v>129</v>
      </c>
      <c r="H51" s="11" t="s">
        <v>130</v>
      </c>
      <c r="I51" s="11" t="s">
        <v>16</v>
      </c>
      <c r="J51" s="11" t="s">
        <v>17</v>
      </c>
      <c r="K51" s="11">
        <v>10</v>
      </c>
      <c r="L51" s="11" t="s">
        <v>56</v>
      </c>
      <c r="M51" s="11" t="s">
        <v>128</v>
      </c>
      <c r="N51" s="14" t="s">
        <v>41</v>
      </c>
    </row>
    <row r="52" spans="1:14" x14ac:dyDescent="0.2">
      <c r="A52" s="10"/>
      <c r="B52" s="11" t="s">
        <v>12</v>
      </c>
      <c r="C52" s="11" t="s">
        <v>80</v>
      </c>
      <c r="D52" s="11">
        <v>10</v>
      </c>
      <c r="E52" s="7" t="s">
        <v>199</v>
      </c>
      <c r="F52" s="13">
        <v>43307</v>
      </c>
      <c r="G52" s="13" t="s">
        <v>129</v>
      </c>
      <c r="H52" s="11" t="s">
        <v>130</v>
      </c>
      <c r="I52" s="11" t="s">
        <v>16</v>
      </c>
      <c r="J52" s="11" t="s">
        <v>17</v>
      </c>
      <c r="K52" s="11">
        <v>10</v>
      </c>
      <c r="L52" s="11" t="s">
        <v>56</v>
      </c>
      <c r="M52" s="11" t="s">
        <v>128</v>
      </c>
      <c r="N52" s="14" t="s">
        <v>82</v>
      </c>
    </row>
    <row r="53" spans="1:14" x14ac:dyDescent="0.2">
      <c r="A53" s="10"/>
      <c r="B53" s="11" t="s">
        <v>12</v>
      </c>
      <c r="C53" s="11" t="s">
        <v>42</v>
      </c>
      <c r="D53" s="11">
        <v>215</v>
      </c>
      <c r="E53" s="7" t="s">
        <v>199</v>
      </c>
      <c r="F53" s="13">
        <v>43307</v>
      </c>
      <c r="G53" s="13" t="s">
        <v>129</v>
      </c>
      <c r="H53" s="11" t="s">
        <v>130</v>
      </c>
      <c r="I53" s="11" t="s">
        <v>16</v>
      </c>
      <c r="J53" s="11" t="s">
        <v>17</v>
      </c>
      <c r="K53" s="11">
        <v>10</v>
      </c>
      <c r="L53" s="11" t="s">
        <v>56</v>
      </c>
      <c r="M53" s="11" t="s">
        <v>128</v>
      </c>
      <c r="N53" s="14" t="s">
        <v>43</v>
      </c>
    </row>
    <row r="54" spans="1:14" x14ac:dyDescent="0.2">
      <c r="A54" s="10"/>
      <c r="B54" s="11" t="s">
        <v>12</v>
      </c>
      <c r="C54" s="11" t="s">
        <v>44</v>
      </c>
      <c r="D54" s="11">
        <v>99</v>
      </c>
      <c r="E54" s="7" t="s">
        <v>199</v>
      </c>
      <c r="F54" s="13">
        <v>43307</v>
      </c>
      <c r="G54" s="13" t="s">
        <v>75</v>
      </c>
      <c r="H54" s="11" t="s">
        <v>160</v>
      </c>
      <c r="I54" s="11" t="s">
        <v>16</v>
      </c>
      <c r="J54" s="11" t="s">
        <v>17</v>
      </c>
      <c r="K54" s="11">
        <v>11</v>
      </c>
      <c r="L54" s="11" t="s">
        <v>196</v>
      </c>
      <c r="M54" s="11"/>
      <c r="N54" s="14" t="s">
        <v>45</v>
      </c>
    </row>
    <row r="55" spans="1:14" x14ac:dyDescent="0.2">
      <c r="A55" s="10"/>
      <c r="B55" s="11" t="s">
        <v>12</v>
      </c>
      <c r="C55" s="11" t="s">
        <v>13</v>
      </c>
      <c r="D55" s="11">
        <v>130</v>
      </c>
      <c r="E55" s="7" t="s">
        <v>199</v>
      </c>
      <c r="F55" s="13">
        <v>43307</v>
      </c>
      <c r="G55" s="13" t="s">
        <v>75</v>
      </c>
      <c r="H55" s="11" t="s">
        <v>160</v>
      </c>
      <c r="I55" s="11" t="s">
        <v>16</v>
      </c>
      <c r="J55" s="11" t="s">
        <v>17</v>
      </c>
      <c r="K55" s="11">
        <v>11</v>
      </c>
      <c r="L55" s="11" t="s">
        <v>196</v>
      </c>
      <c r="M55" s="11"/>
      <c r="N55" s="14" t="s">
        <v>18</v>
      </c>
    </row>
    <row r="56" spans="1:14" x14ac:dyDescent="0.2">
      <c r="A56" s="10"/>
      <c r="B56" s="11" t="s">
        <v>12</v>
      </c>
      <c r="C56" s="11" t="s">
        <v>19</v>
      </c>
      <c r="D56" s="11">
        <v>70</v>
      </c>
      <c r="E56" s="7" t="s">
        <v>199</v>
      </c>
      <c r="F56" s="13">
        <v>43307</v>
      </c>
      <c r="G56" s="13" t="s">
        <v>75</v>
      </c>
      <c r="H56" s="11" t="s">
        <v>160</v>
      </c>
      <c r="I56" s="11" t="s">
        <v>16</v>
      </c>
      <c r="J56" s="11" t="s">
        <v>17</v>
      </c>
      <c r="K56" s="11">
        <v>11</v>
      </c>
      <c r="L56" s="11" t="s">
        <v>196</v>
      </c>
      <c r="M56" s="11"/>
      <c r="N56" s="14" t="s">
        <v>20</v>
      </c>
    </row>
    <row r="57" spans="1:14" x14ac:dyDescent="0.2">
      <c r="A57" s="10"/>
      <c r="B57" s="11" t="s">
        <v>12</v>
      </c>
      <c r="C57" s="11" t="s">
        <v>57</v>
      </c>
      <c r="D57" s="11">
        <v>9</v>
      </c>
      <c r="E57" s="7" t="s">
        <v>199</v>
      </c>
      <c r="F57" s="13">
        <v>43307</v>
      </c>
      <c r="G57" s="13" t="s">
        <v>75</v>
      </c>
      <c r="H57" s="11" t="s">
        <v>160</v>
      </c>
      <c r="I57" s="11" t="s">
        <v>16</v>
      </c>
      <c r="J57" s="11" t="s">
        <v>17</v>
      </c>
      <c r="K57" s="11">
        <v>11</v>
      </c>
      <c r="L57" s="11" t="s">
        <v>196</v>
      </c>
      <c r="M57" s="11"/>
      <c r="N57" s="17" t="s">
        <v>58</v>
      </c>
    </row>
    <row r="58" spans="1:14" x14ac:dyDescent="0.2">
      <c r="A58" s="10"/>
      <c r="B58" s="11" t="s">
        <v>12</v>
      </c>
      <c r="C58" s="11" t="s">
        <v>78</v>
      </c>
      <c r="D58" s="11">
        <v>165</v>
      </c>
      <c r="E58" s="7" t="s">
        <v>199</v>
      </c>
      <c r="F58" s="13">
        <v>43307</v>
      </c>
      <c r="G58" s="13" t="s">
        <v>75</v>
      </c>
      <c r="H58" s="11" t="s">
        <v>160</v>
      </c>
      <c r="I58" s="11" t="s">
        <v>16</v>
      </c>
      <c r="J58" s="11" t="s">
        <v>17</v>
      </c>
      <c r="K58" s="11">
        <v>11</v>
      </c>
      <c r="L58" s="11" t="s">
        <v>196</v>
      </c>
      <c r="M58" s="11"/>
      <c r="N58" s="11" t="s">
        <v>79</v>
      </c>
    </row>
    <row r="59" spans="1:14" x14ac:dyDescent="0.2">
      <c r="A59" s="10"/>
      <c r="B59" s="11" t="s">
        <v>12</v>
      </c>
      <c r="C59" s="11" t="s">
        <v>19</v>
      </c>
      <c r="D59" s="11">
        <v>775</v>
      </c>
      <c r="E59" s="7" t="s">
        <v>199</v>
      </c>
      <c r="F59" s="13">
        <v>43307</v>
      </c>
      <c r="G59" s="13" t="s">
        <v>75</v>
      </c>
      <c r="H59" s="11" t="s">
        <v>160</v>
      </c>
      <c r="I59" s="11" t="s">
        <v>16</v>
      </c>
      <c r="J59" s="11" t="s">
        <v>17</v>
      </c>
      <c r="K59" s="11">
        <v>12</v>
      </c>
      <c r="L59" s="11" t="s">
        <v>56</v>
      </c>
      <c r="M59" s="11"/>
      <c r="N59" s="14" t="s">
        <v>20</v>
      </c>
    </row>
    <row r="60" spans="1:14" x14ac:dyDescent="0.2">
      <c r="A60" s="10"/>
      <c r="B60" s="11" t="s">
        <v>12</v>
      </c>
      <c r="C60" s="11" t="s">
        <v>19</v>
      </c>
      <c r="D60" s="11">
        <v>500</v>
      </c>
      <c r="E60" s="7" t="s">
        <v>199</v>
      </c>
      <c r="F60" s="13">
        <v>43307</v>
      </c>
      <c r="G60" s="13" t="s">
        <v>81</v>
      </c>
      <c r="H60" s="11" t="s">
        <v>161</v>
      </c>
      <c r="I60" s="11" t="s">
        <v>16</v>
      </c>
      <c r="J60" s="11" t="s">
        <v>17</v>
      </c>
      <c r="K60" s="11">
        <v>13</v>
      </c>
      <c r="L60" s="11" t="s">
        <v>196</v>
      </c>
      <c r="M60" s="11"/>
      <c r="N60" s="25" t="s">
        <v>20</v>
      </c>
    </row>
    <row r="61" spans="1:14" x14ac:dyDescent="0.2">
      <c r="A61" s="10"/>
      <c r="B61" s="11" t="s">
        <v>12</v>
      </c>
      <c r="C61" s="11" t="s">
        <v>80</v>
      </c>
      <c r="D61" s="11">
        <v>16</v>
      </c>
      <c r="E61" s="7" t="s">
        <v>199</v>
      </c>
      <c r="F61" s="13">
        <v>43307</v>
      </c>
      <c r="G61" s="13" t="s">
        <v>81</v>
      </c>
      <c r="H61" s="11" t="s">
        <v>161</v>
      </c>
      <c r="I61" s="11" t="s">
        <v>16</v>
      </c>
      <c r="J61" s="11" t="s">
        <v>17</v>
      </c>
      <c r="K61" s="11">
        <v>13</v>
      </c>
      <c r="L61" s="11" t="s">
        <v>196</v>
      </c>
      <c r="M61" s="11"/>
      <c r="N61" s="14" t="s">
        <v>82</v>
      </c>
    </row>
    <row r="62" spans="1:14" x14ac:dyDescent="0.2">
      <c r="A62" s="10"/>
      <c r="B62" s="11" t="s">
        <v>12</v>
      </c>
      <c r="C62" s="11" t="s">
        <v>78</v>
      </c>
      <c r="D62" s="11">
        <v>19</v>
      </c>
      <c r="E62" s="7" t="s">
        <v>199</v>
      </c>
      <c r="F62" s="13">
        <v>43307</v>
      </c>
      <c r="G62" s="13" t="s">
        <v>81</v>
      </c>
      <c r="H62" s="11" t="s">
        <v>161</v>
      </c>
      <c r="I62" s="11" t="s">
        <v>16</v>
      </c>
      <c r="J62" s="11" t="s">
        <v>17</v>
      </c>
      <c r="K62" s="11">
        <v>13</v>
      </c>
      <c r="L62" s="11" t="s">
        <v>196</v>
      </c>
      <c r="M62" s="11"/>
      <c r="N62" s="14" t="s">
        <v>79</v>
      </c>
    </row>
    <row r="63" spans="1:14" x14ac:dyDescent="0.2">
      <c r="A63" s="10"/>
      <c r="B63" s="11" t="s">
        <v>12</v>
      </c>
      <c r="C63" s="11" t="s">
        <v>21</v>
      </c>
      <c r="D63" s="11">
        <v>100</v>
      </c>
      <c r="E63" s="7" t="s">
        <v>199</v>
      </c>
      <c r="F63" s="13">
        <v>43307</v>
      </c>
      <c r="G63" s="13" t="s">
        <v>83</v>
      </c>
      <c r="H63" s="11" t="s">
        <v>84</v>
      </c>
      <c r="I63" s="11" t="s">
        <v>24</v>
      </c>
      <c r="J63" s="11" t="s">
        <v>25</v>
      </c>
      <c r="K63" s="11">
        <v>14</v>
      </c>
      <c r="L63" s="11" t="s">
        <v>196</v>
      </c>
      <c r="M63" s="11"/>
      <c r="N63" s="14" t="s">
        <v>26</v>
      </c>
    </row>
    <row r="64" spans="1:14" x14ac:dyDescent="0.2">
      <c r="A64" s="10"/>
      <c r="B64" s="11" t="s">
        <v>12</v>
      </c>
      <c r="C64" s="11" t="s">
        <v>44</v>
      </c>
      <c r="D64" s="11">
        <v>55</v>
      </c>
      <c r="E64" s="7" t="s">
        <v>199</v>
      </c>
      <c r="F64" s="13">
        <v>43307</v>
      </c>
      <c r="G64" s="13" t="s">
        <v>83</v>
      </c>
      <c r="H64" s="11" t="s">
        <v>84</v>
      </c>
      <c r="I64" s="11" t="s">
        <v>16</v>
      </c>
      <c r="J64" s="11" t="s">
        <v>17</v>
      </c>
      <c r="K64" s="11">
        <v>14</v>
      </c>
      <c r="L64" s="11" t="s">
        <v>196</v>
      </c>
      <c r="M64" s="11"/>
      <c r="N64" s="14" t="s">
        <v>45</v>
      </c>
    </row>
    <row r="65" spans="1:14" x14ac:dyDescent="0.2">
      <c r="A65" s="10"/>
      <c r="B65" s="11" t="s">
        <v>12</v>
      </c>
      <c r="C65" s="11" t="s">
        <v>19</v>
      </c>
      <c r="D65" s="11">
        <v>20</v>
      </c>
      <c r="E65" s="7" t="s">
        <v>199</v>
      </c>
      <c r="F65" s="13">
        <v>43307</v>
      </c>
      <c r="G65" s="13" t="s">
        <v>83</v>
      </c>
      <c r="H65" s="11" t="s">
        <v>84</v>
      </c>
      <c r="I65" s="11" t="s">
        <v>16</v>
      </c>
      <c r="J65" s="11" t="s">
        <v>17</v>
      </c>
      <c r="K65" s="11">
        <v>14</v>
      </c>
      <c r="L65" s="11" t="s">
        <v>196</v>
      </c>
      <c r="M65" s="11"/>
      <c r="N65" s="14" t="s">
        <v>20</v>
      </c>
    </row>
    <row r="66" spans="1:14" x14ac:dyDescent="0.2">
      <c r="A66" s="10"/>
      <c r="B66" s="11" t="s">
        <v>12</v>
      </c>
      <c r="C66" s="11" t="s">
        <v>80</v>
      </c>
      <c r="D66" s="11">
        <v>30</v>
      </c>
      <c r="E66" s="7" t="s">
        <v>199</v>
      </c>
      <c r="F66" s="13">
        <v>43307</v>
      </c>
      <c r="G66" s="13" t="s">
        <v>83</v>
      </c>
      <c r="H66" s="11" t="s">
        <v>84</v>
      </c>
      <c r="I66" s="11" t="s">
        <v>16</v>
      </c>
      <c r="J66" s="11" t="s">
        <v>17</v>
      </c>
      <c r="K66" s="11">
        <v>14</v>
      </c>
      <c r="L66" s="11" t="s">
        <v>196</v>
      </c>
      <c r="M66" s="11"/>
      <c r="N66" s="14" t="s">
        <v>82</v>
      </c>
    </row>
    <row r="67" spans="1:14" x14ac:dyDescent="0.2">
      <c r="A67" s="10"/>
      <c r="B67" s="11" t="s">
        <v>12</v>
      </c>
      <c r="C67" s="11" t="s">
        <v>78</v>
      </c>
      <c r="D67" s="11">
        <v>311</v>
      </c>
      <c r="E67" s="7" t="s">
        <v>199</v>
      </c>
      <c r="F67" s="13">
        <v>43307</v>
      </c>
      <c r="G67" s="13" t="s">
        <v>83</v>
      </c>
      <c r="H67" s="11" t="s">
        <v>84</v>
      </c>
      <c r="I67" s="11" t="s">
        <v>16</v>
      </c>
      <c r="J67" s="11" t="s">
        <v>17</v>
      </c>
      <c r="K67" s="11">
        <v>14</v>
      </c>
      <c r="L67" s="11" t="s">
        <v>196</v>
      </c>
      <c r="M67" s="11"/>
      <c r="N67" s="14" t="s">
        <v>79</v>
      </c>
    </row>
    <row r="68" spans="1:14" x14ac:dyDescent="0.2">
      <c r="A68" s="10"/>
      <c r="B68" s="11" t="s">
        <v>12</v>
      </c>
      <c r="C68" s="11" t="s">
        <v>57</v>
      </c>
      <c r="D68" s="11">
        <v>131</v>
      </c>
      <c r="E68" s="7" t="s">
        <v>199</v>
      </c>
      <c r="F68" s="13">
        <v>43307</v>
      </c>
      <c r="G68" s="13" t="s">
        <v>151</v>
      </c>
      <c r="H68" s="11" t="s">
        <v>164</v>
      </c>
      <c r="I68" s="11" t="s">
        <v>16</v>
      </c>
      <c r="J68" s="11" t="s">
        <v>17</v>
      </c>
      <c r="K68" s="11">
        <v>15</v>
      </c>
      <c r="L68" s="11" t="s">
        <v>198</v>
      </c>
      <c r="M68" s="11"/>
      <c r="N68" s="14" t="s">
        <v>58</v>
      </c>
    </row>
    <row r="69" spans="1:14" x14ac:dyDescent="0.2">
      <c r="A69" s="10"/>
      <c r="B69" s="11" t="s">
        <v>12</v>
      </c>
      <c r="C69" s="11" t="s">
        <v>80</v>
      </c>
      <c r="D69" s="11">
        <v>6</v>
      </c>
      <c r="E69" s="7" t="s">
        <v>199</v>
      </c>
      <c r="F69" s="13">
        <v>43307</v>
      </c>
      <c r="G69" s="13" t="s">
        <v>151</v>
      </c>
      <c r="H69" s="11" t="s">
        <v>164</v>
      </c>
      <c r="I69" s="11" t="s">
        <v>16</v>
      </c>
      <c r="J69" s="11" t="s">
        <v>17</v>
      </c>
      <c r="K69" s="11">
        <v>15</v>
      </c>
      <c r="L69" s="11" t="s">
        <v>198</v>
      </c>
      <c r="M69" s="11"/>
      <c r="N69" s="14" t="s">
        <v>82</v>
      </c>
    </row>
    <row r="70" spans="1:14" x14ac:dyDescent="0.2">
      <c r="A70" s="10"/>
      <c r="B70" s="11" t="s">
        <v>12</v>
      </c>
      <c r="C70" s="11" t="s">
        <v>21</v>
      </c>
      <c r="D70" s="11">
        <v>80</v>
      </c>
      <c r="E70" s="7" t="s">
        <v>199</v>
      </c>
      <c r="F70" s="13">
        <v>43307</v>
      </c>
      <c r="G70" s="13" t="s">
        <v>131</v>
      </c>
      <c r="H70" s="11" t="s">
        <v>165</v>
      </c>
      <c r="I70" s="11" t="s">
        <v>24</v>
      </c>
      <c r="J70" s="11" t="s">
        <v>25</v>
      </c>
      <c r="K70" s="11">
        <v>16</v>
      </c>
      <c r="L70" s="11" t="s">
        <v>196</v>
      </c>
      <c r="M70" s="11"/>
      <c r="N70" s="14" t="s">
        <v>26</v>
      </c>
    </row>
    <row r="71" spans="1:14" x14ac:dyDescent="0.2">
      <c r="A71" s="10"/>
      <c r="B71" s="11" t="s">
        <v>12</v>
      </c>
      <c r="C71" s="11" t="s">
        <v>27</v>
      </c>
      <c r="D71" s="11">
        <v>100</v>
      </c>
      <c r="E71" s="7" t="s">
        <v>199</v>
      </c>
      <c r="F71" s="13">
        <v>43307</v>
      </c>
      <c r="G71" s="13" t="s">
        <v>131</v>
      </c>
      <c r="H71" s="11" t="s">
        <v>165</v>
      </c>
      <c r="I71" s="11" t="s">
        <v>24</v>
      </c>
      <c r="J71" s="11" t="s">
        <v>25</v>
      </c>
      <c r="K71" s="11">
        <v>16</v>
      </c>
      <c r="L71" s="11" t="s">
        <v>196</v>
      </c>
      <c r="M71" s="11"/>
      <c r="N71" s="14" t="s">
        <v>28</v>
      </c>
    </row>
    <row r="72" spans="1:14" x14ac:dyDescent="0.2">
      <c r="A72" s="10"/>
      <c r="B72" s="11" t="s">
        <v>12</v>
      </c>
      <c r="C72" s="11" t="s">
        <v>29</v>
      </c>
      <c r="D72" s="11">
        <v>8</v>
      </c>
      <c r="E72" s="7" t="s">
        <v>199</v>
      </c>
      <c r="F72" s="13">
        <v>43307</v>
      </c>
      <c r="G72" s="13" t="s">
        <v>131</v>
      </c>
      <c r="H72" s="11" t="s">
        <v>165</v>
      </c>
      <c r="I72" s="11" t="s">
        <v>24</v>
      </c>
      <c r="J72" s="11" t="s">
        <v>25</v>
      </c>
      <c r="K72" s="11">
        <v>16</v>
      </c>
      <c r="L72" s="11" t="s">
        <v>196</v>
      </c>
      <c r="M72" s="11"/>
      <c r="N72" s="14" t="s">
        <v>30</v>
      </c>
    </row>
    <row r="73" spans="1:14" x14ac:dyDescent="0.2">
      <c r="A73" s="10"/>
      <c r="B73" s="11" t="s">
        <v>92</v>
      </c>
      <c r="C73" s="11" t="s">
        <v>93</v>
      </c>
      <c r="D73" s="11">
        <v>10</v>
      </c>
      <c r="E73" s="7" t="s">
        <v>199</v>
      </c>
      <c r="F73" s="13">
        <v>43307</v>
      </c>
      <c r="G73" s="13" t="s">
        <v>131</v>
      </c>
      <c r="H73" s="11" t="s">
        <v>165</v>
      </c>
      <c r="I73" s="11" t="s">
        <v>24</v>
      </c>
      <c r="J73" s="11" t="s">
        <v>25</v>
      </c>
      <c r="K73" s="11">
        <v>16</v>
      </c>
      <c r="L73" s="11" t="s">
        <v>196</v>
      </c>
      <c r="M73" s="11"/>
      <c r="N73" s="14" t="s">
        <v>95</v>
      </c>
    </row>
    <row r="74" spans="1:14" x14ac:dyDescent="0.2">
      <c r="A74" s="10"/>
      <c r="B74" s="11" t="s">
        <v>12</v>
      </c>
      <c r="C74" s="11" t="s">
        <v>44</v>
      </c>
      <c r="D74" s="11">
        <v>28</v>
      </c>
      <c r="E74" s="7" t="s">
        <v>199</v>
      </c>
      <c r="F74" s="13">
        <v>43307</v>
      </c>
      <c r="G74" s="13" t="s">
        <v>131</v>
      </c>
      <c r="H74" s="11" t="s">
        <v>165</v>
      </c>
      <c r="I74" s="11" t="s">
        <v>16</v>
      </c>
      <c r="J74" s="11" t="s">
        <v>17</v>
      </c>
      <c r="K74" s="11">
        <v>16</v>
      </c>
      <c r="L74" s="11" t="s">
        <v>196</v>
      </c>
      <c r="M74" s="11"/>
      <c r="N74" s="14" t="s">
        <v>45</v>
      </c>
    </row>
    <row r="75" spans="1:14" x14ac:dyDescent="0.2">
      <c r="A75" s="10"/>
      <c r="B75" s="11" t="s">
        <v>12</v>
      </c>
      <c r="C75" s="11" t="s">
        <v>13</v>
      </c>
      <c r="D75" s="11">
        <v>47</v>
      </c>
      <c r="E75" s="7" t="s">
        <v>199</v>
      </c>
      <c r="F75" s="13">
        <v>43307</v>
      </c>
      <c r="G75" s="13" t="s">
        <v>131</v>
      </c>
      <c r="H75" s="11" t="s">
        <v>165</v>
      </c>
      <c r="I75" s="11" t="s">
        <v>16</v>
      </c>
      <c r="J75" s="11" t="s">
        <v>17</v>
      </c>
      <c r="K75" s="11">
        <v>16</v>
      </c>
      <c r="L75" s="11" t="s">
        <v>196</v>
      </c>
      <c r="M75" s="11"/>
      <c r="N75" s="14" t="s">
        <v>18</v>
      </c>
    </row>
    <row r="76" spans="1:14" x14ac:dyDescent="0.2">
      <c r="A76" s="10"/>
      <c r="B76" s="11" t="s">
        <v>12</v>
      </c>
      <c r="C76" s="11" t="s">
        <v>19</v>
      </c>
      <c r="D76" s="11">
        <v>10</v>
      </c>
      <c r="E76" s="7" t="s">
        <v>199</v>
      </c>
      <c r="F76" s="13">
        <v>43307</v>
      </c>
      <c r="G76" s="13" t="s">
        <v>131</v>
      </c>
      <c r="H76" s="11" t="s">
        <v>165</v>
      </c>
      <c r="I76" s="11" t="s">
        <v>16</v>
      </c>
      <c r="J76" s="11" t="s">
        <v>17</v>
      </c>
      <c r="K76" s="11">
        <v>16</v>
      </c>
      <c r="L76" s="11" t="s">
        <v>196</v>
      </c>
      <c r="M76" s="11"/>
      <c r="N76" s="14" t="s">
        <v>20</v>
      </c>
    </row>
    <row r="77" spans="1:14" x14ac:dyDescent="0.2">
      <c r="A77" s="10"/>
      <c r="B77" s="11" t="s">
        <v>12</v>
      </c>
      <c r="C77" s="11" t="s">
        <v>65</v>
      </c>
      <c r="D77" s="11">
        <v>11</v>
      </c>
      <c r="E77" s="7" t="s">
        <v>199</v>
      </c>
      <c r="F77" s="13">
        <v>43307</v>
      </c>
      <c r="G77" s="13" t="s">
        <v>131</v>
      </c>
      <c r="H77" s="11" t="s">
        <v>165</v>
      </c>
      <c r="I77" s="11" t="s">
        <v>16</v>
      </c>
      <c r="J77" s="11" t="s">
        <v>17</v>
      </c>
      <c r="K77" s="11">
        <v>16</v>
      </c>
      <c r="L77" s="11" t="s">
        <v>196</v>
      </c>
      <c r="M77" s="11"/>
      <c r="N77" s="14" t="s">
        <v>66</v>
      </c>
    </row>
    <row r="78" spans="1:14" x14ac:dyDescent="0.2">
      <c r="A78" s="10"/>
      <c r="B78" s="11" t="s">
        <v>12</v>
      </c>
      <c r="C78" s="11" t="s">
        <v>40</v>
      </c>
      <c r="D78" s="11">
        <v>25</v>
      </c>
      <c r="E78" s="7" t="s">
        <v>199</v>
      </c>
      <c r="F78" s="13">
        <v>43307</v>
      </c>
      <c r="G78" s="13" t="s">
        <v>131</v>
      </c>
      <c r="H78" s="11" t="s">
        <v>165</v>
      </c>
      <c r="I78" s="11" t="s">
        <v>16</v>
      </c>
      <c r="J78" s="11" t="s">
        <v>17</v>
      </c>
      <c r="K78" s="11">
        <v>16</v>
      </c>
      <c r="L78" s="11" t="s">
        <v>196</v>
      </c>
      <c r="M78" s="11"/>
      <c r="N78" s="14" t="s">
        <v>41</v>
      </c>
    </row>
    <row r="79" spans="1:14" x14ac:dyDescent="0.2">
      <c r="A79" s="10"/>
      <c r="B79" s="11" t="s">
        <v>12</v>
      </c>
      <c r="C79" s="11" t="s">
        <v>42</v>
      </c>
      <c r="D79" s="11">
        <v>60</v>
      </c>
      <c r="E79" s="7" t="s">
        <v>199</v>
      </c>
      <c r="F79" s="13">
        <v>43307</v>
      </c>
      <c r="G79" s="13" t="s">
        <v>131</v>
      </c>
      <c r="H79" s="11" t="s">
        <v>165</v>
      </c>
      <c r="I79" s="11" t="s">
        <v>16</v>
      </c>
      <c r="J79" s="11" t="s">
        <v>17</v>
      </c>
      <c r="K79" s="11">
        <v>16</v>
      </c>
      <c r="L79" s="11" t="s">
        <v>196</v>
      </c>
      <c r="M79" s="11"/>
      <c r="N79" s="14" t="s">
        <v>43</v>
      </c>
    </row>
    <row r="80" spans="1:14" x14ac:dyDescent="0.2">
      <c r="A80" s="10"/>
      <c r="B80" s="11" t="s">
        <v>12</v>
      </c>
      <c r="C80" s="11" t="s">
        <v>21</v>
      </c>
      <c r="D80" s="11">
        <v>60</v>
      </c>
      <c r="E80" s="7" t="s">
        <v>199</v>
      </c>
      <c r="F80" s="13">
        <v>43307</v>
      </c>
      <c r="G80" s="13" t="s">
        <v>89</v>
      </c>
      <c r="H80" s="11" t="s">
        <v>90</v>
      </c>
      <c r="I80" s="11" t="s">
        <v>24</v>
      </c>
      <c r="J80" s="11" t="s">
        <v>25</v>
      </c>
      <c r="K80" s="11">
        <v>17</v>
      </c>
      <c r="L80" s="11" t="s">
        <v>196</v>
      </c>
      <c r="M80" s="11"/>
      <c r="N80" s="14" t="s">
        <v>26</v>
      </c>
    </row>
    <row r="81" spans="1:14" x14ac:dyDescent="0.2">
      <c r="A81" s="10"/>
      <c r="B81" s="11" t="s">
        <v>12</v>
      </c>
      <c r="C81" s="11" t="s">
        <v>27</v>
      </c>
      <c r="D81" s="11">
        <v>131</v>
      </c>
      <c r="E81" s="7" t="s">
        <v>199</v>
      </c>
      <c r="F81" s="13">
        <v>43307</v>
      </c>
      <c r="G81" s="13" t="s">
        <v>89</v>
      </c>
      <c r="H81" s="11" t="s">
        <v>90</v>
      </c>
      <c r="I81" s="11" t="s">
        <v>24</v>
      </c>
      <c r="J81" s="11" t="s">
        <v>25</v>
      </c>
      <c r="K81" s="11">
        <v>17</v>
      </c>
      <c r="L81" s="11" t="s">
        <v>196</v>
      </c>
      <c r="M81" s="11"/>
      <c r="N81" s="14" t="s">
        <v>28</v>
      </c>
    </row>
    <row r="82" spans="1:14" x14ac:dyDescent="0.2">
      <c r="A82" s="10"/>
      <c r="B82" s="11" t="s">
        <v>92</v>
      </c>
      <c r="C82" s="11" t="s">
        <v>96</v>
      </c>
      <c r="D82" s="11">
        <v>20</v>
      </c>
      <c r="E82" s="7" t="s">
        <v>199</v>
      </c>
      <c r="F82" s="13">
        <v>43307</v>
      </c>
      <c r="G82" s="13" t="s">
        <v>89</v>
      </c>
      <c r="H82" s="11" t="s">
        <v>90</v>
      </c>
      <c r="I82" s="11" t="s">
        <v>24</v>
      </c>
      <c r="J82" s="11" t="s">
        <v>25</v>
      </c>
      <c r="K82" s="11">
        <v>17</v>
      </c>
      <c r="L82" s="11" t="s">
        <v>196</v>
      </c>
      <c r="M82" s="11"/>
      <c r="N82" s="14" t="s">
        <v>97</v>
      </c>
    </row>
    <row r="83" spans="1:14" x14ac:dyDescent="0.2">
      <c r="A83" s="10"/>
      <c r="B83" s="11" t="s">
        <v>12</v>
      </c>
      <c r="C83" s="11" t="s">
        <v>49</v>
      </c>
      <c r="D83" s="11">
        <v>5</v>
      </c>
      <c r="E83" s="7" t="s">
        <v>199</v>
      </c>
      <c r="F83" s="13">
        <v>43307</v>
      </c>
      <c r="G83" s="13" t="s">
        <v>89</v>
      </c>
      <c r="H83" s="11" t="s">
        <v>90</v>
      </c>
      <c r="I83" s="11" t="s">
        <v>24</v>
      </c>
      <c r="J83" s="11" t="s">
        <v>25</v>
      </c>
      <c r="K83" s="11">
        <v>17</v>
      </c>
      <c r="L83" s="11" t="s">
        <v>196</v>
      </c>
      <c r="M83" s="11"/>
      <c r="N83" s="14" t="s">
        <v>50</v>
      </c>
    </row>
    <row r="84" spans="1:14" x14ac:dyDescent="0.2">
      <c r="A84" s="10"/>
      <c r="B84" s="11" t="s">
        <v>12</v>
      </c>
      <c r="C84" s="11" t="s">
        <v>44</v>
      </c>
      <c r="D84" s="11">
        <v>23</v>
      </c>
      <c r="E84" s="7" t="s">
        <v>199</v>
      </c>
      <c r="F84" s="13">
        <v>43307</v>
      </c>
      <c r="G84" s="13" t="s">
        <v>89</v>
      </c>
      <c r="H84" s="11" t="s">
        <v>90</v>
      </c>
      <c r="I84" s="11" t="s">
        <v>16</v>
      </c>
      <c r="J84" s="11" t="s">
        <v>17</v>
      </c>
      <c r="K84" s="11">
        <v>17</v>
      </c>
      <c r="L84" s="11" t="s">
        <v>196</v>
      </c>
      <c r="M84" s="11"/>
      <c r="N84" s="14" t="s">
        <v>45</v>
      </c>
    </row>
    <row r="85" spans="1:14" x14ac:dyDescent="0.2">
      <c r="A85" s="10"/>
      <c r="B85" s="11" t="s">
        <v>12</v>
      </c>
      <c r="C85" s="11" t="s">
        <v>13</v>
      </c>
      <c r="D85" s="11">
        <v>28</v>
      </c>
      <c r="E85" s="7" t="s">
        <v>199</v>
      </c>
      <c r="F85" s="13">
        <v>43307</v>
      </c>
      <c r="G85" s="13" t="s">
        <v>89</v>
      </c>
      <c r="H85" s="11" t="s">
        <v>90</v>
      </c>
      <c r="I85" s="11" t="s">
        <v>16</v>
      </c>
      <c r="J85" s="11" t="s">
        <v>17</v>
      </c>
      <c r="K85" s="11">
        <v>17</v>
      </c>
      <c r="L85" s="11" t="s">
        <v>196</v>
      </c>
      <c r="M85" s="11"/>
      <c r="N85" s="14" t="s">
        <v>18</v>
      </c>
    </row>
    <row r="86" spans="1:14" x14ac:dyDescent="0.2">
      <c r="A86" s="10"/>
      <c r="B86" s="11" t="s">
        <v>12</v>
      </c>
      <c r="C86" s="11" t="s">
        <v>65</v>
      </c>
      <c r="D86" s="11">
        <v>6</v>
      </c>
      <c r="E86" s="7" t="s">
        <v>199</v>
      </c>
      <c r="F86" s="13">
        <v>43307</v>
      </c>
      <c r="G86" s="13" t="s">
        <v>89</v>
      </c>
      <c r="H86" s="11" t="s">
        <v>90</v>
      </c>
      <c r="I86" s="11" t="s">
        <v>16</v>
      </c>
      <c r="J86" s="11" t="s">
        <v>17</v>
      </c>
      <c r="K86" s="11">
        <v>17</v>
      </c>
      <c r="L86" s="11" t="s">
        <v>196</v>
      </c>
      <c r="M86" s="11"/>
      <c r="N86" s="14" t="s">
        <v>66</v>
      </c>
    </row>
    <row r="87" spans="1:14" x14ac:dyDescent="0.2">
      <c r="A87" s="10"/>
      <c r="B87" s="11" t="s">
        <v>12</v>
      </c>
      <c r="C87" s="11" t="s">
        <v>40</v>
      </c>
      <c r="D87" s="11">
        <v>30</v>
      </c>
      <c r="E87" s="7" t="s">
        <v>199</v>
      </c>
      <c r="F87" s="13">
        <v>43307</v>
      </c>
      <c r="G87" s="13" t="s">
        <v>89</v>
      </c>
      <c r="H87" s="11" t="s">
        <v>90</v>
      </c>
      <c r="I87" s="11" t="s">
        <v>16</v>
      </c>
      <c r="J87" s="11" t="s">
        <v>17</v>
      </c>
      <c r="K87" s="11">
        <v>17</v>
      </c>
      <c r="L87" s="11" t="s">
        <v>196</v>
      </c>
      <c r="M87" s="11"/>
      <c r="N87" s="14" t="s">
        <v>41</v>
      </c>
    </row>
    <row r="88" spans="1:14" x14ac:dyDescent="0.2">
      <c r="A88" s="10"/>
      <c r="B88" s="11" t="s">
        <v>12</v>
      </c>
      <c r="C88" s="11" t="s">
        <v>42</v>
      </c>
      <c r="D88" s="11">
        <v>60</v>
      </c>
      <c r="E88" s="7" t="s">
        <v>199</v>
      </c>
      <c r="F88" s="13">
        <v>43307</v>
      </c>
      <c r="G88" s="13" t="s">
        <v>89</v>
      </c>
      <c r="H88" s="11" t="s">
        <v>90</v>
      </c>
      <c r="I88" s="11" t="s">
        <v>16</v>
      </c>
      <c r="J88" s="11" t="s">
        <v>17</v>
      </c>
      <c r="K88" s="11">
        <v>17</v>
      </c>
      <c r="L88" s="11" t="s">
        <v>196</v>
      </c>
      <c r="M88" s="11"/>
      <c r="N88" s="14" t="s">
        <v>43</v>
      </c>
    </row>
    <row r="89" spans="1:14" x14ac:dyDescent="0.2">
      <c r="A89" s="10"/>
      <c r="B89" s="11" t="s">
        <v>12</v>
      </c>
      <c r="C89" s="11" t="s">
        <v>19</v>
      </c>
      <c r="D89" s="11">
        <v>220</v>
      </c>
      <c r="E89" s="7" t="s">
        <v>199</v>
      </c>
      <c r="F89" s="13">
        <v>43307</v>
      </c>
      <c r="G89" s="13" t="s">
        <v>89</v>
      </c>
      <c r="H89" s="11" t="s">
        <v>90</v>
      </c>
      <c r="I89" s="11" t="s">
        <v>16</v>
      </c>
      <c r="J89" s="11" t="s">
        <v>17</v>
      </c>
      <c r="K89" s="11">
        <v>18</v>
      </c>
      <c r="L89" s="11" t="s">
        <v>198</v>
      </c>
      <c r="M89" s="11"/>
      <c r="N89" s="14" t="s">
        <v>20</v>
      </c>
    </row>
    <row r="90" spans="1:14" x14ac:dyDescent="0.2">
      <c r="A90" s="10"/>
      <c r="B90" s="11" t="s">
        <v>12</v>
      </c>
      <c r="C90" s="11" t="s">
        <v>44</v>
      </c>
      <c r="D90" s="11">
        <v>75</v>
      </c>
      <c r="E90" s="7" t="s">
        <v>199</v>
      </c>
      <c r="F90" s="13">
        <v>43307</v>
      </c>
      <c r="G90" s="13" t="s">
        <v>91</v>
      </c>
      <c r="H90" s="11" t="s">
        <v>166</v>
      </c>
      <c r="I90" s="11" t="s">
        <v>16</v>
      </c>
      <c r="J90" s="11" t="s">
        <v>17</v>
      </c>
      <c r="K90" s="11">
        <v>20</v>
      </c>
      <c r="L90" s="11" t="s">
        <v>56</v>
      </c>
      <c r="M90" s="11"/>
      <c r="N90" s="14" t="s">
        <v>45</v>
      </c>
    </row>
    <row r="91" spans="1:14" x14ac:dyDescent="0.2">
      <c r="A91" s="10"/>
      <c r="B91" s="11" t="s">
        <v>12</v>
      </c>
      <c r="C91" s="11" t="s">
        <v>13</v>
      </c>
      <c r="D91" s="11">
        <v>415</v>
      </c>
      <c r="E91" s="7" t="s">
        <v>199</v>
      </c>
      <c r="F91" s="13">
        <v>43307</v>
      </c>
      <c r="G91" s="13" t="s">
        <v>91</v>
      </c>
      <c r="H91" s="11" t="s">
        <v>166</v>
      </c>
      <c r="I91" s="11" t="s">
        <v>16</v>
      </c>
      <c r="J91" s="11" t="s">
        <v>17</v>
      </c>
      <c r="K91" s="11">
        <v>20</v>
      </c>
      <c r="L91" s="11" t="s">
        <v>56</v>
      </c>
      <c r="M91" s="11"/>
      <c r="N91" s="14" t="s">
        <v>18</v>
      </c>
    </row>
    <row r="92" spans="1:14" x14ac:dyDescent="0.2">
      <c r="A92" s="10"/>
      <c r="B92" s="11" t="s">
        <v>12</v>
      </c>
      <c r="C92" s="11" t="s">
        <v>57</v>
      </c>
      <c r="D92" s="11">
        <v>23</v>
      </c>
      <c r="E92" s="7" t="s">
        <v>199</v>
      </c>
      <c r="F92" s="13">
        <v>43307</v>
      </c>
      <c r="G92" s="13" t="s">
        <v>91</v>
      </c>
      <c r="H92" s="11" t="s">
        <v>166</v>
      </c>
      <c r="I92" s="11" t="s">
        <v>16</v>
      </c>
      <c r="J92" s="11" t="s">
        <v>17</v>
      </c>
      <c r="K92" s="11">
        <v>20</v>
      </c>
      <c r="L92" s="11" t="s">
        <v>56</v>
      </c>
      <c r="M92" s="11"/>
      <c r="N92" s="14" t="s">
        <v>58</v>
      </c>
    </row>
    <row r="93" spans="1:14" x14ac:dyDescent="0.2">
      <c r="A93" s="10"/>
      <c r="B93" s="11" t="s">
        <v>12</v>
      </c>
      <c r="C93" s="11" t="s">
        <v>21</v>
      </c>
      <c r="D93" s="11">
        <v>10</v>
      </c>
      <c r="E93" s="7" t="s">
        <v>199</v>
      </c>
      <c r="F93" s="13">
        <v>43307</v>
      </c>
      <c r="G93" s="13" t="s">
        <v>94</v>
      </c>
      <c r="H93" s="11" t="s">
        <v>167</v>
      </c>
      <c r="I93" s="11" t="s">
        <v>24</v>
      </c>
      <c r="J93" s="11" t="s">
        <v>25</v>
      </c>
      <c r="K93" s="11">
        <v>21</v>
      </c>
      <c r="L93" s="11" t="s">
        <v>196</v>
      </c>
      <c r="M93" s="11"/>
      <c r="N93" s="14" t="s">
        <v>26</v>
      </c>
    </row>
    <row r="94" spans="1:14" x14ac:dyDescent="0.2">
      <c r="A94" s="10"/>
      <c r="B94" s="11" t="s">
        <v>12</v>
      </c>
      <c r="C94" s="11" t="s">
        <v>27</v>
      </c>
      <c r="D94" s="11">
        <v>50</v>
      </c>
      <c r="E94" s="7" t="s">
        <v>199</v>
      </c>
      <c r="F94" s="13">
        <v>43307</v>
      </c>
      <c r="G94" s="13" t="s">
        <v>94</v>
      </c>
      <c r="H94" s="11" t="s">
        <v>167</v>
      </c>
      <c r="I94" s="11" t="s">
        <v>24</v>
      </c>
      <c r="J94" s="11" t="s">
        <v>25</v>
      </c>
      <c r="K94" s="11">
        <v>21</v>
      </c>
      <c r="L94" s="11" t="s">
        <v>196</v>
      </c>
      <c r="M94" s="11"/>
      <c r="N94" s="14" t="s">
        <v>28</v>
      </c>
    </row>
    <row r="95" spans="1:14" x14ac:dyDescent="0.2">
      <c r="A95" s="10"/>
      <c r="B95" s="11" t="s">
        <v>92</v>
      </c>
      <c r="C95" s="11" t="s">
        <v>109</v>
      </c>
      <c r="D95" s="11">
        <v>1</v>
      </c>
      <c r="E95" s="7" t="s">
        <v>199</v>
      </c>
      <c r="F95" s="13">
        <v>43307</v>
      </c>
      <c r="G95" s="13" t="s">
        <v>94</v>
      </c>
      <c r="H95" s="11" t="s">
        <v>167</v>
      </c>
      <c r="I95" s="11" t="s">
        <v>24</v>
      </c>
      <c r="J95" s="11" t="s">
        <v>25</v>
      </c>
      <c r="K95" s="11">
        <v>21</v>
      </c>
      <c r="L95" s="11" t="s">
        <v>196</v>
      </c>
      <c r="M95" s="11"/>
      <c r="N95" s="14" t="s">
        <v>110</v>
      </c>
    </row>
    <row r="96" spans="1:14" x14ac:dyDescent="0.2">
      <c r="A96" s="10"/>
      <c r="B96" s="11" t="s">
        <v>92</v>
      </c>
      <c r="C96" s="11" t="s">
        <v>96</v>
      </c>
      <c r="D96" s="11">
        <v>10</v>
      </c>
      <c r="E96" s="7" t="s">
        <v>199</v>
      </c>
      <c r="F96" s="13">
        <v>43307</v>
      </c>
      <c r="G96" s="13" t="s">
        <v>94</v>
      </c>
      <c r="H96" s="11" t="s">
        <v>167</v>
      </c>
      <c r="I96" s="11" t="s">
        <v>24</v>
      </c>
      <c r="J96" s="11" t="s">
        <v>25</v>
      </c>
      <c r="K96" s="11">
        <v>21</v>
      </c>
      <c r="L96" s="11" t="s">
        <v>196</v>
      </c>
      <c r="M96" s="11"/>
      <c r="N96" s="14" t="s">
        <v>97</v>
      </c>
    </row>
    <row r="97" spans="1:14" x14ac:dyDescent="0.2">
      <c r="A97" s="10"/>
      <c r="B97" s="11" t="s">
        <v>33</v>
      </c>
      <c r="C97" s="11" t="s">
        <v>34</v>
      </c>
      <c r="D97" s="11">
        <v>10</v>
      </c>
      <c r="E97" s="7" t="s">
        <v>199</v>
      </c>
      <c r="F97" s="13">
        <v>43307</v>
      </c>
      <c r="G97" s="13" t="s">
        <v>94</v>
      </c>
      <c r="H97" s="11" t="s">
        <v>167</v>
      </c>
      <c r="I97" s="11" t="s">
        <v>24</v>
      </c>
      <c r="J97" s="11" t="s">
        <v>25</v>
      </c>
      <c r="K97" s="11">
        <v>21</v>
      </c>
      <c r="L97" s="11" t="s">
        <v>196</v>
      </c>
      <c r="M97" s="11"/>
      <c r="N97" s="14" t="s">
        <v>35</v>
      </c>
    </row>
    <row r="98" spans="1:14" x14ac:dyDescent="0.2">
      <c r="A98" s="10"/>
      <c r="B98" s="11" t="s">
        <v>12</v>
      </c>
      <c r="C98" s="11" t="s">
        <v>19</v>
      </c>
      <c r="D98" s="11">
        <v>165</v>
      </c>
      <c r="E98" s="7" t="s">
        <v>199</v>
      </c>
      <c r="F98" s="13">
        <v>43307</v>
      </c>
      <c r="G98" s="13" t="s">
        <v>94</v>
      </c>
      <c r="H98" s="11" t="s">
        <v>167</v>
      </c>
      <c r="I98" s="11" t="s">
        <v>16</v>
      </c>
      <c r="J98" s="11" t="s">
        <v>17</v>
      </c>
      <c r="K98" s="11">
        <v>21</v>
      </c>
      <c r="L98" s="11" t="s">
        <v>196</v>
      </c>
      <c r="M98" s="11"/>
      <c r="N98" s="14" t="s">
        <v>20</v>
      </c>
    </row>
    <row r="99" spans="1:14" x14ac:dyDescent="0.2">
      <c r="A99" s="10"/>
      <c r="B99" s="11" t="s">
        <v>12</v>
      </c>
      <c r="C99" s="11" t="s">
        <v>40</v>
      </c>
      <c r="D99" s="11">
        <v>160</v>
      </c>
      <c r="E99" s="7" t="s">
        <v>199</v>
      </c>
      <c r="F99" s="13">
        <v>43307</v>
      </c>
      <c r="G99" s="13" t="s">
        <v>94</v>
      </c>
      <c r="H99" s="11" t="s">
        <v>167</v>
      </c>
      <c r="I99" s="11" t="s">
        <v>16</v>
      </c>
      <c r="J99" s="11" t="s">
        <v>17</v>
      </c>
      <c r="K99" s="11">
        <v>21</v>
      </c>
      <c r="L99" s="11" t="s">
        <v>196</v>
      </c>
      <c r="M99" s="11"/>
      <c r="N99" s="14" t="s">
        <v>41</v>
      </c>
    </row>
    <row r="100" spans="1:14" x14ac:dyDescent="0.2">
      <c r="A100" s="10"/>
      <c r="B100" s="11" t="s">
        <v>12</v>
      </c>
      <c r="C100" s="11" t="s">
        <v>44</v>
      </c>
      <c r="D100" s="11">
        <v>30</v>
      </c>
      <c r="E100" s="7" t="s">
        <v>199</v>
      </c>
      <c r="F100" s="13">
        <v>43307</v>
      </c>
      <c r="G100" s="13" t="s">
        <v>137</v>
      </c>
      <c r="H100" s="11" t="s">
        <v>185</v>
      </c>
      <c r="I100" s="11" t="s">
        <v>16</v>
      </c>
      <c r="J100" s="11" t="s">
        <v>17</v>
      </c>
      <c r="K100" s="11">
        <v>22</v>
      </c>
      <c r="L100" s="11" t="s">
        <v>56</v>
      </c>
      <c r="M100" s="11"/>
      <c r="N100" s="14" t="s">
        <v>45</v>
      </c>
    </row>
    <row r="101" spans="1:14" x14ac:dyDescent="0.2">
      <c r="A101" s="10"/>
      <c r="B101" s="11" t="s">
        <v>12</v>
      </c>
      <c r="C101" s="11" t="s">
        <v>19</v>
      </c>
      <c r="D101" s="11">
        <v>600</v>
      </c>
      <c r="E101" s="7" t="s">
        <v>199</v>
      </c>
      <c r="F101" s="13">
        <v>43307</v>
      </c>
      <c r="G101" s="13" t="s">
        <v>137</v>
      </c>
      <c r="H101" s="11" t="s">
        <v>185</v>
      </c>
      <c r="I101" s="11" t="s">
        <v>16</v>
      </c>
      <c r="J101" s="11" t="s">
        <v>17</v>
      </c>
      <c r="K101" s="11">
        <v>22</v>
      </c>
      <c r="L101" s="11" t="s">
        <v>56</v>
      </c>
      <c r="M101" s="11"/>
      <c r="N101" s="14" t="s">
        <v>20</v>
      </c>
    </row>
    <row r="102" spans="1:14" x14ac:dyDescent="0.2">
      <c r="A102" s="10"/>
      <c r="B102" s="11" t="s">
        <v>12</v>
      </c>
      <c r="C102" s="11" t="s">
        <v>57</v>
      </c>
      <c r="D102" s="11">
        <v>60</v>
      </c>
      <c r="E102" s="7" t="s">
        <v>199</v>
      </c>
      <c r="F102" s="13">
        <v>43307</v>
      </c>
      <c r="G102" s="13" t="s">
        <v>137</v>
      </c>
      <c r="H102" s="11" t="s">
        <v>185</v>
      </c>
      <c r="I102" s="11" t="s">
        <v>16</v>
      </c>
      <c r="J102" s="11" t="s">
        <v>17</v>
      </c>
      <c r="K102" s="11">
        <v>22</v>
      </c>
      <c r="L102" s="11" t="s">
        <v>56</v>
      </c>
      <c r="M102" s="11"/>
      <c r="N102" s="14" t="s">
        <v>58</v>
      </c>
    </row>
    <row r="103" spans="1:14" x14ac:dyDescent="0.2">
      <c r="A103" s="10"/>
      <c r="B103" s="11" t="s">
        <v>12</v>
      </c>
      <c r="C103" s="11" t="s">
        <v>19</v>
      </c>
      <c r="D103" s="11">
        <v>775</v>
      </c>
      <c r="E103" s="7" t="s">
        <v>199</v>
      </c>
      <c r="F103" s="13">
        <v>43307</v>
      </c>
      <c r="G103" s="13" t="s">
        <v>98</v>
      </c>
      <c r="H103" s="11" t="s">
        <v>158</v>
      </c>
      <c r="I103" s="11" t="s">
        <v>16</v>
      </c>
      <c r="J103" s="11" t="s">
        <v>17</v>
      </c>
      <c r="K103" s="11">
        <v>23</v>
      </c>
      <c r="L103" s="11" t="s">
        <v>56</v>
      </c>
      <c r="M103" s="11"/>
      <c r="N103" s="14" t="s">
        <v>20</v>
      </c>
    </row>
    <row r="104" spans="1:14" x14ac:dyDescent="0.2">
      <c r="A104" s="10"/>
      <c r="B104" s="11" t="s">
        <v>12</v>
      </c>
      <c r="C104" s="11" t="s">
        <v>13</v>
      </c>
      <c r="D104" s="11">
        <v>100</v>
      </c>
      <c r="E104" s="7" t="s">
        <v>199</v>
      </c>
      <c r="F104" s="13">
        <v>43307</v>
      </c>
      <c r="G104" s="13" t="s">
        <v>102</v>
      </c>
      <c r="H104" s="11" t="s">
        <v>186</v>
      </c>
      <c r="I104" s="11" t="s">
        <v>16</v>
      </c>
      <c r="J104" s="11" t="s">
        <v>17</v>
      </c>
      <c r="K104" s="11">
        <v>24</v>
      </c>
      <c r="L104" s="11" t="s">
        <v>196</v>
      </c>
      <c r="M104" s="11" t="s">
        <v>103</v>
      </c>
      <c r="N104" s="14" t="s">
        <v>18</v>
      </c>
    </row>
    <row r="105" spans="1:14" x14ac:dyDescent="0.2">
      <c r="A105" s="10"/>
      <c r="B105" s="11" t="s">
        <v>12</v>
      </c>
      <c r="C105" s="11" t="s">
        <v>57</v>
      </c>
      <c r="D105" s="11">
        <v>12</v>
      </c>
      <c r="E105" s="7" t="s">
        <v>199</v>
      </c>
      <c r="F105" s="13">
        <v>43307</v>
      </c>
      <c r="G105" s="13" t="s">
        <v>102</v>
      </c>
      <c r="H105" s="11" t="s">
        <v>186</v>
      </c>
      <c r="I105" s="11" t="s">
        <v>16</v>
      </c>
      <c r="J105" s="11" t="s">
        <v>17</v>
      </c>
      <c r="K105" s="11">
        <v>24</v>
      </c>
      <c r="L105" s="11" t="s">
        <v>196</v>
      </c>
      <c r="M105" s="11" t="s">
        <v>103</v>
      </c>
      <c r="N105" s="14" t="s">
        <v>58</v>
      </c>
    </row>
    <row r="106" spans="1:14" x14ac:dyDescent="0.2">
      <c r="A106" s="10"/>
      <c r="B106" s="11" t="s">
        <v>12</v>
      </c>
      <c r="C106" s="11" t="s">
        <v>44</v>
      </c>
      <c r="D106" s="11">
        <v>16</v>
      </c>
      <c r="E106" s="7" t="s">
        <v>199</v>
      </c>
      <c r="F106" s="13">
        <v>43307</v>
      </c>
      <c r="G106" s="13" t="s">
        <v>104</v>
      </c>
      <c r="H106" s="11" t="s">
        <v>157</v>
      </c>
      <c r="I106" s="11" t="s">
        <v>16</v>
      </c>
      <c r="J106" s="11" t="s">
        <v>17</v>
      </c>
      <c r="K106" s="11">
        <v>24</v>
      </c>
      <c r="L106" s="11" t="s">
        <v>196</v>
      </c>
      <c r="M106" s="11" t="s">
        <v>103</v>
      </c>
      <c r="N106" s="14" t="s">
        <v>45</v>
      </c>
    </row>
    <row r="107" spans="1:14" x14ac:dyDescent="0.2">
      <c r="A107" s="10"/>
      <c r="B107" s="11" t="s">
        <v>12</v>
      </c>
      <c r="C107" s="11" t="s">
        <v>13</v>
      </c>
      <c r="D107" s="11">
        <v>53</v>
      </c>
      <c r="E107" s="7" t="s">
        <v>199</v>
      </c>
      <c r="F107" s="13">
        <v>43307</v>
      </c>
      <c r="G107" s="13" t="s">
        <v>104</v>
      </c>
      <c r="H107" s="11" t="s">
        <v>157</v>
      </c>
      <c r="I107" s="11" t="s">
        <v>16</v>
      </c>
      <c r="J107" s="11" t="s">
        <v>17</v>
      </c>
      <c r="K107" s="11">
        <v>24</v>
      </c>
      <c r="L107" s="11" t="s">
        <v>196</v>
      </c>
      <c r="M107" s="11" t="s">
        <v>103</v>
      </c>
      <c r="N107" s="14" t="s">
        <v>18</v>
      </c>
    </row>
    <row r="108" spans="1:14" x14ac:dyDescent="0.2">
      <c r="A108" s="10"/>
      <c r="B108" s="11" t="s">
        <v>12</v>
      </c>
      <c r="C108" s="11" t="s">
        <v>19</v>
      </c>
      <c r="D108" s="11">
        <v>210</v>
      </c>
      <c r="E108" s="7" t="s">
        <v>199</v>
      </c>
      <c r="F108" s="13">
        <v>43307</v>
      </c>
      <c r="G108" s="13" t="s">
        <v>104</v>
      </c>
      <c r="H108" s="11" t="s">
        <v>157</v>
      </c>
      <c r="I108" s="11" t="s">
        <v>16</v>
      </c>
      <c r="J108" s="11" t="s">
        <v>17</v>
      </c>
      <c r="K108" s="11">
        <v>24</v>
      </c>
      <c r="L108" s="11" t="s">
        <v>196</v>
      </c>
      <c r="M108" s="11" t="s">
        <v>103</v>
      </c>
      <c r="N108" s="14" t="s">
        <v>20</v>
      </c>
    </row>
    <row r="109" spans="1:14" x14ac:dyDescent="0.2">
      <c r="A109" s="10"/>
      <c r="B109" s="11" t="s">
        <v>12</v>
      </c>
      <c r="C109" s="11" t="s">
        <v>57</v>
      </c>
      <c r="D109" s="11">
        <v>33</v>
      </c>
      <c r="E109" s="7" t="s">
        <v>199</v>
      </c>
      <c r="F109" s="13">
        <v>43307</v>
      </c>
      <c r="G109" s="13" t="s">
        <v>104</v>
      </c>
      <c r="H109" s="11" t="s">
        <v>157</v>
      </c>
      <c r="I109" s="11" t="s">
        <v>16</v>
      </c>
      <c r="J109" s="11" t="s">
        <v>17</v>
      </c>
      <c r="K109" s="11">
        <v>24</v>
      </c>
      <c r="L109" s="11" t="s">
        <v>196</v>
      </c>
      <c r="M109" s="11" t="s">
        <v>103</v>
      </c>
      <c r="N109" s="14" t="s">
        <v>58</v>
      </c>
    </row>
    <row r="110" spans="1:14" x14ac:dyDescent="0.2">
      <c r="A110" s="10"/>
      <c r="B110" s="11" t="s">
        <v>12</v>
      </c>
      <c r="C110" s="11" t="s">
        <v>29</v>
      </c>
      <c r="D110" s="11">
        <v>6</v>
      </c>
      <c r="E110" s="7" t="s">
        <v>199</v>
      </c>
      <c r="F110" s="13">
        <v>43307</v>
      </c>
      <c r="G110" s="13" t="s">
        <v>132</v>
      </c>
      <c r="H110" s="11" t="s">
        <v>180</v>
      </c>
      <c r="I110" s="11" t="s">
        <v>24</v>
      </c>
      <c r="J110" s="11" t="s">
        <v>25</v>
      </c>
      <c r="K110" s="11">
        <v>25</v>
      </c>
      <c r="L110" s="11" t="s">
        <v>196</v>
      </c>
      <c r="M110" s="11" t="s">
        <v>133</v>
      </c>
      <c r="N110" s="14" t="s">
        <v>30</v>
      </c>
    </row>
    <row r="111" spans="1:14" x14ac:dyDescent="0.2">
      <c r="A111" s="10"/>
      <c r="B111" s="11" t="s">
        <v>33</v>
      </c>
      <c r="C111" s="11" t="s">
        <v>34</v>
      </c>
      <c r="D111" s="11">
        <v>6</v>
      </c>
      <c r="E111" s="7" t="s">
        <v>199</v>
      </c>
      <c r="F111" s="13">
        <v>43307</v>
      </c>
      <c r="G111" s="13" t="s">
        <v>132</v>
      </c>
      <c r="H111" s="11" t="s">
        <v>180</v>
      </c>
      <c r="I111" s="11" t="s">
        <v>24</v>
      </c>
      <c r="J111" s="11" t="s">
        <v>25</v>
      </c>
      <c r="K111" s="11">
        <v>25</v>
      </c>
      <c r="L111" s="11" t="s">
        <v>196</v>
      </c>
      <c r="M111" s="11" t="s">
        <v>133</v>
      </c>
      <c r="N111" s="14" t="s">
        <v>35</v>
      </c>
    </row>
    <row r="112" spans="1:14" x14ac:dyDescent="0.2">
      <c r="A112" s="10"/>
      <c r="B112" s="11" t="s">
        <v>33</v>
      </c>
      <c r="C112" s="11" t="s">
        <v>36</v>
      </c>
      <c r="D112" s="11">
        <v>15</v>
      </c>
      <c r="E112" s="7" t="s">
        <v>199</v>
      </c>
      <c r="F112" s="13">
        <v>43307</v>
      </c>
      <c r="G112" s="13" t="s">
        <v>132</v>
      </c>
      <c r="H112" s="11" t="s">
        <v>180</v>
      </c>
      <c r="I112" s="11" t="s">
        <v>24</v>
      </c>
      <c r="J112" s="11" t="s">
        <v>25</v>
      </c>
      <c r="K112" s="11">
        <v>25</v>
      </c>
      <c r="L112" s="11" t="s">
        <v>196</v>
      </c>
      <c r="M112" s="11" t="s">
        <v>133</v>
      </c>
      <c r="N112" s="14" t="s">
        <v>37</v>
      </c>
    </row>
    <row r="113" spans="1:14" x14ac:dyDescent="0.2">
      <c r="A113" s="10"/>
      <c r="B113" s="11" t="s">
        <v>33</v>
      </c>
      <c r="C113" s="11" t="s">
        <v>53</v>
      </c>
      <c r="D113" s="11">
        <v>5</v>
      </c>
      <c r="E113" s="7" t="s">
        <v>199</v>
      </c>
      <c r="F113" s="13">
        <v>43307</v>
      </c>
      <c r="G113" s="13" t="s">
        <v>132</v>
      </c>
      <c r="H113" s="11" t="s">
        <v>180</v>
      </c>
      <c r="I113" s="11" t="s">
        <v>24</v>
      </c>
      <c r="J113" s="11" t="s">
        <v>25</v>
      </c>
      <c r="K113" s="11">
        <v>25</v>
      </c>
      <c r="L113" s="11" t="s">
        <v>196</v>
      </c>
      <c r="M113" s="11" t="s">
        <v>133</v>
      </c>
      <c r="N113" s="14" t="s">
        <v>54</v>
      </c>
    </row>
    <row r="114" spans="1:14" x14ac:dyDescent="0.2">
      <c r="A114" s="10"/>
      <c r="B114" s="11" t="s">
        <v>12</v>
      </c>
      <c r="C114" s="11" t="s">
        <v>13</v>
      </c>
      <c r="D114" s="11">
        <v>5</v>
      </c>
      <c r="E114" s="7" t="s">
        <v>199</v>
      </c>
      <c r="F114" s="13">
        <v>43307</v>
      </c>
      <c r="G114" s="13" t="s">
        <v>132</v>
      </c>
      <c r="H114" s="11" t="s">
        <v>180</v>
      </c>
      <c r="I114" s="11" t="s">
        <v>16</v>
      </c>
      <c r="J114" s="11" t="s">
        <v>17</v>
      </c>
      <c r="K114" s="11">
        <v>25</v>
      </c>
      <c r="L114" s="11" t="s">
        <v>196</v>
      </c>
      <c r="M114" s="11" t="s">
        <v>133</v>
      </c>
      <c r="N114" s="14" t="s">
        <v>18</v>
      </c>
    </row>
    <row r="115" spans="1:14" x14ac:dyDescent="0.2">
      <c r="A115" s="10"/>
      <c r="B115" s="11" t="s">
        <v>12</v>
      </c>
      <c r="C115" s="11" t="s">
        <v>19</v>
      </c>
      <c r="D115" s="11">
        <v>90</v>
      </c>
      <c r="E115" s="7" t="s">
        <v>199</v>
      </c>
      <c r="F115" s="13">
        <v>43307</v>
      </c>
      <c r="G115" s="13" t="s">
        <v>132</v>
      </c>
      <c r="H115" s="11" t="s">
        <v>180</v>
      </c>
      <c r="I115" s="11" t="s">
        <v>16</v>
      </c>
      <c r="J115" s="11" t="s">
        <v>17</v>
      </c>
      <c r="K115" s="11">
        <v>25</v>
      </c>
      <c r="L115" s="11" t="s">
        <v>196</v>
      </c>
      <c r="M115" s="11" t="s">
        <v>133</v>
      </c>
      <c r="N115" s="14" t="s">
        <v>20</v>
      </c>
    </row>
    <row r="116" spans="1:14" x14ac:dyDescent="0.2">
      <c r="A116" s="10"/>
      <c r="B116" s="11" t="s">
        <v>12</v>
      </c>
      <c r="C116" s="11" t="s">
        <v>80</v>
      </c>
      <c r="D116" s="11">
        <v>5</v>
      </c>
      <c r="E116" s="7" t="s">
        <v>199</v>
      </c>
      <c r="F116" s="13">
        <v>43307</v>
      </c>
      <c r="G116" s="13" t="s">
        <v>132</v>
      </c>
      <c r="H116" s="11" t="s">
        <v>180</v>
      </c>
      <c r="I116" s="11" t="s">
        <v>16</v>
      </c>
      <c r="J116" s="11" t="s">
        <v>17</v>
      </c>
      <c r="K116" s="11">
        <v>25</v>
      </c>
      <c r="L116" s="11" t="s">
        <v>196</v>
      </c>
      <c r="M116" s="11" t="s">
        <v>133</v>
      </c>
      <c r="N116" s="14" t="s">
        <v>82</v>
      </c>
    </row>
    <row r="117" spans="1:14" x14ac:dyDescent="0.2">
      <c r="A117" s="10"/>
      <c r="B117" s="11" t="s">
        <v>12</v>
      </c>
      <c r="C117" s="11" t="s">
        <v>29</v>
      </c>
      <c r="D117" s="11">
        <v>8</v>
      </c>
      <c r="E117" s="7" t="s">
        <v>199</v>
      </c>
      <c r="F117" s="13">
        <v>43307</v>
      </c>
      <c r="G117" s="13" t="s">
        <v>134</v>
      </c>
      <c r="H117" s="11" t="s">
        <v>181</v>
      </c>
      <c r="I117" s="11" t="s">
        <v>24</v>
      </c>
      <c r="J117" s="11" t="s">
        <v>25</v>
      </c>
      <c r="K117" s="11">
        <v>25</v>
      </c>
      <c r="L117" s="11" t="s">
        <v>196</v>
      </c>
      <c r="M117" s="11" t="s">
        <v>133</v>
      </c>
      <c r="N117" s="14" t="s">
        <v>30</v>
      </c>
    </row>
    <row r="118" spans="1:14" x14ac:dyDescent="0.2">
      <c r="A118" s="10"/>
      <c r="B118" s="11" t="s">
        <v>92</v>
      </c>
      <c r="C118" s="11" t="s">
        <v>93</v>
      </c>
      <c r="D118" s="11">
        <v>7</v>
      </c>
      <c r="E118" s="7" t="s">
        <v>199</v>
      </c>
      <c r="F118" s="13">
        <v>43307</v>
      </c>
      <c r="G118" s="13" t="s">
        <v>134</v>
      </c>
      <c r="H118" s="11" t="s">
        <v>181</v>
      </c>
      <c r="I118" s="11" t="s">
        <v>24</v>
      </c>
      <c r="J118" s="11" t="s">
        <v>25</v>
      </c>
      <c r="K118" s="11">
        <v>25</v>
      </c>
      <c r="L118" s="11" t="s">
        <v>196</v>
      </c>
      <c r="M118" s="11" t="s">
        <v>133</v>
      </c>
      <c r="N118" s="14" t="s">
        <v>95</v>
      </c>
    </row>
    <row r="119" spans="1:14" x14ac:dyDescent="0.2">
      <c r="A119" s="10"/>
      <c r="B119" s="11" t="s">
        <v>33</v>
      </c>
      <c r="C119" s="11" t="s">
        <v>34</v>
      </c>
      <c r="D119" s="11">
        <v>20</v>
      </c>
      <c r="E119" s="7" t="s">
        <v>199</v>
      </c>
      <c r="F119" s="13">
        <v>43307</v>
      </c>
      <c r="G119" s="13" t="s">
        <v>134</v>
      </c>
      <c r="H119" s="11" t="s">
        <v>181</v>
      </c>
      <c r="I119" s="11" t="s">
        <v>24</v>
      </c>
      <c r="J119" s="11" t="s">
        <v>25</v>
      </c>
      <c r="K119" s="11">
        <v>25</v>
      </c>
      <c r="L119" s="11" t="s">
        <v>196</v>
      </c>
      <c r="M119" s="11" t="s">
        <v>133</v>
      </c>
      <c r="N119" s="14" t="s">
        <v>35</v>
      </c>
    </row>
    <row r="120" spans="1:14" x14ac:dyDescent="0.2">
      <c r="A120" s="10"/>
      <c r="B120" s="11" t="s">
        <v>33</v>
      </c>
      <c r="C120" s="11" t="s">
        <v>53</v>
      </c>
      <c r="D120" s="11">
        <v>3</v>
      </c>
      <c r="E120" s="7" t="s">
        <v>199</v>
      </c>
      <c r="F120" s="13">
        <v>43307</v>
      </c>
      <c r="G120" s="13" t="s">
        <v>134</v>
      </c>
      <c r="H120" s="11" t="s">
        <v>181</v>
      </c>
      <c r="I120" s="11" t="s">
        <v>24</v>
      </c>
      <c r="J120" s="11" t="s">
        <v>25</v>
      </c>
      <c r="K120" s="11">
        <v>25</v>
      </c>
      <c r="L120" s="11" t="s">
        <v>196</v>
      </c>
      <c r="M120" s="11" t="s">
        <v>133</v>
      </c>
      <c r="N120" s="14" t="s">
        <v>54</v>
      </c>
    </row>
    <row r="121" spans="1:14" x14ac:dyDescent="0.2">
      <c r="A121" s="10"/>
      <c r="B121" s="11" t="s">
        <v>12</v>
      </c>
      <c r="C121" s="11" t="s">
        <v>44</v>
      </c>
      <c r="D121" s="11">
        <v>11</v>
      </c>
      <c r="E121" s="7" t="s">
        <v>199</v>
      </c>
      <c r="F121" s="13">
        <v>43307</v>
      </c>
      <c r="G121" s="13" t="s">
        <v>134</v>
      </c>
      <c r="H121" s="11" t="s">
        <v>181</v>
      </c>
      <c r="I121" s="11" t="s">
        <v>16</v>
      </c>
      <c r="J121" s="11" t="s">
        <v>17</v>
      </c>
      <c r="K121" s="11">
        <v>25</v>
      </c>
      <c r="L121" s="11" t="s">
        <v>196</v>
      </c>
      <c r="M121" s="11" t="s">
        <v>133</v>
      </c>
      <c r="N121" s="14" t="s">
        <v>45</v>
      </c>
    </row>
    <row r="122" spans="1:14" x14ac:dyDescent="0.2">
      <c r="A122" s="10"/>
      <c r="B122" s="11" t="s">
        <v>12</v>
      </c>
      <c r="C122" s="11" t="s">
        <v>13</v>
      </c>
      <c r="D122" s="11">
        <v>20</v>
      </c>
      <c r="E122" s="7" t="s">
        <v>199</v>
      </c>
      <c r="F122" s="13">
        <v>43307</v>
      </c>
      <c r="G122" s="13" t="s">
        <v>134</v>
      </c>
      <c r="H122" s="11" t="s">
        <v>181</v>
      </c>
      <c r="I122" s="11" t="s">
        <v>16</v>
      </c>
      <c r="J122" s="11" t="s">
        <v>17</v>
      </c>
      <c r="K122" s="11">
        <v>25</v>
      </c>
      <c r="L122" s="11" t="s">
        <v>196</v>
      </c>
      <c r="M122" s="11" t="s">
        <v>133</v>
      </c>
      <c r="N122" s="14" t="s">
        <v>18</v>
      </c>
    </row>
    <row r="123" spans="1:14" x14ac:dyDescent="0.2">
      <c r="A123" s="10"/>
      <c r="B123" s="11" t="s">
        <v>12</v>
      </c>
      <c r="C123" s="11" t="s">
        <v>19</v>
      </c>
      <c r="D123" s="11">
        <v>200</v>
      </c>
      <c r="E123" s="7" t="s">
        <v>199</v>
      </c>
      <c r="F123" s="13">
        <v>43307</v>
      </c>
      <c r="G123" s="13" t="s">
        <v>134</v>
      </c>
      <c r="H123" s="11" t="s">
        <v>181</v>
      </c>
      <c r="I123" s="11" t="s">
        <v>16</v>
      </c>
      <c r="J123" s="11" t="s">
        <v>17</v>
      </c>
      <c r="K123" s="11">
        <v>25</v>
      </c>
      <c r="L123" s="11" t="s">
        <v>196</v>
      </c>
      <c r="M123" s="11" t="s">
        <v>133</v>
      </c>
      <c r="N123" s="14" t="s">
        <v>20</v>
      </c>
    </row>
    <row r="124" spans="1:14" x14ac:dyDescent="0.2">
      <c r="A124" s="10"/>
      <c r="B124" s="11" t="s">
        <v>12</v>
      </c>
      <c r="C124" s="11" t="s">
        <v>57</v>
      </c>
      <c r="D124" s="11">
        <v>50</v>
      </c>
      <c r="E124" s="7" t="s">
        <v>199</v>
      </c>
      <c r="F124" s="13">
        <v>43307</v>
      </c>
      <c r="G124" s="13" t="s">
        <v>134</v>
      </c>
      <c r="H124" s="11" t="s">
        <v>181</v>
      </c>
      <c r="I124" s="11" t="s">
        <v>16</v>
      </c>
      <c r="J124" s="11" t="s">
        <v>17</v>
      </c>
      <c r="K124" s="11">
        <v>25</v>
      </c>
      <c r="L124" s="11" t="s">
        <v>196</v>
      </c>
      <c r="M124" s="11" t="s">
        <v>133</v>
      </c>
      <c r="N124" s="14" t="s">
        <v>58</v>
      </c>
    </row>
    <row r="125" spans="1:14" x14ac:dyDescent="0.2">
      <c r="A125" s="10"/>
      <c r="B125" s="11" t="s">
        <v>12</v>
      </c>
      <c r="C125" s="11" t="s">
        <v>80</v>
      </c>
      <c r="D125" s="11">
        <v>20</v>
      </c>
      <c r="E125" s="7" t="s">
        <v>199</v>
      </c>
      <c r="F125" s="13">
        <v>43307</v>
      </c>
      <c r="G125" s="13" t="s">
        <v>134</v>
      </c>
      <c r="H125" s="11" t="s">
        <v>181</v>
      </c>
      <c r="I125" s="11" t="s">
        <v>16</v>
      </c>
      <c r="J125" s="11" t="s">
        <v>17</v>
      </c>
      <c r="K125" s="11">
        <v>25</v>
      </c>
      <c r="L125" s="11" t="s">
        <v>196</v>
      </c>
      <c r="M125" s="11" t="s">
        <v>133</v>
      </c>
      <c r="N125" s="14" t="s">
        <v>82</v>
      </c>
    </row>
    <row r="126" spans="1:14" x14ac:dyDescent="0.2">
      <c r="A126" s="10"/>
      <c r="B126" s="11" t="s">
        <v>12</v>
      </c>
      <c r="C126" s="11" t="s">
        <v>19</v>
      </c>
      <c r="D126" s="11">
        <v>510</v>
      </c>
      <c r="E126" s="7" t="s">
        <v>199</v>
      </c>
      <c r="F126" s="13">
        <v>43307</v>
      </c>
      <c r="G126" s="13" t="s">
        <v>107</v>
      </c>
      <c r="H126" s="11" t="s">
        <v>183</v>
      </c>
      <c r="I126" s="11" t="s">
        <v>16</v>
      </c>
      <c r="J126" s="11" t="s">
        <v>17</v>
      </c>
      <c r="K126" s="11">
        <v>26</v>
      </c>
      <c r="L126" s="11" t="s">
        <v>196</v>
      </c>
      <c r="M126" s="11"/>
      <c r="N126" s="14" t="s">
        <v>20</v>
      </c>
    </row>
    <row r="127" spans="1:14" x14ac:dyDescent="0.2">
      <c r="A127" s="10"/>
      <c r="B127" s="11" t="s">
        <v>12</v>
      </c>
      <c r="C127" s="11" t="s">
        <v>80</v>
      </c>
      <c r="D127" s="11">
        <v>20</v>
      </c>
      <c r="E127" s="7" t="s">
        <v>199</v>
      </c>
      <c r="F127" s="13">
        <v>43307</v>
      </c>
      <c r="G127" s="13" t="s">
        <v>107</v>
      </c>
      <c r="H127" s="11" t="s">
        <v>183</v>
      </c>
      <c r="I127" s="11" t="s">
        <v>16</v>
      </c>
      <c r="J127" s="11" t="s">
        <v>17</v>
      </c>
      <c r="K127" s="11">
        <v>26</v>
      </c>
      <c r="L127" s="11" t="s">
        <v>196</v>
      </c>
      <c r="M127" s="11"/>
      <c r="N127" s="14" t="s">
        <v>82</v>
      </c>
    </row>
    <row r="128" spans="1:14" x14ac:dyDescent="0.2">
      <c r="A128" s="10"/>
      <c r="B128" s="11" t="s">
        <v>12</v>
      </c>
      <c r="C128" s="11" t="s">
        <v>44</v>
      </c>
      <c r="D128" s="11">
        <v>100</v>
      </c>
      <c r="E128" s="7" t="s">
        <v>199</v>
      </c>
      <c r="F128" s="13">
        <v>43307</v>
      </c>
      <c r="G128" s="13" t="s">
        <v>135</v>
      </c>
      <c r="H128" s="11" t="s">
        <v>168</v>
      </c>
      <c r="I128" s="11" t="s">
        <v>16</v>
      </c>
      <c r="J128" s="11" t="s">
        <v>17</v>
      </c>
      <c r="K128" s="11">
        <v>27</v>
      </c>
      <c r="L128" s="11" t="s">
        <v>196</v>
      </c>
      <c r="M128" s="11"/>
      <c r="N128" s="14" t="s">
        <v>45</v>
      </c>
    </row>
    <row r="129" spans="1:14" x14ac:dyDescent="0.2">
      <c r="A129" s="10"/>
      <c r="B129" s="11" t="s">
        <v>12</v>
      </c>
      <c r="C129" s="11" t="s">
        <v>57</v>
      </c>
      <c r="D129" s="11">
        <v>300</v>
      </c>
      <c r="E129" s="7" t="s">
        <v>199</v>
      </c>
      <c r="F129" s="13">
        <v>43307</v>
      </c>
      <c r="G129" s="13" t="s">
        <v>135</v>
      </c>
      <c r="H129" s="11" t="s">
        <v>168</v>
      </c>
      <c r="I129" s="11" t="s">
        <v>16</v>
      </c>
      <c r="J129" s="11" t="s">
        <v>17</v>
      </c>
      <c r="K129" s="11">
        <v>27</v>
      </c>
      <c r="L129" s="11" t="s">
        <v>196</v>
      </c>
      <c r="M129" s="11"/>
      <c r="N129" s="14" t="s">
        <v>58</v>
      </c>
    </row>
    <row r="130" spans="1:14" x14ac:dyDescent="0.2">
      <c r="A130" s="10"/>
      <c r="B130" s="11" t="s">
        <v>12</v>
      </c>
      <c r="C130" s="11" t="s">
        <v>44</v>
      </c>
      <c r="D130" s="11">
        <v>150</v>
      </c>
      <c r="E130" s="7" t="s">
        <v>199</v>
      </c>
      <c r="F130" s="13">
        <v>43307</v>
      </c>
      <c r="G130" s="13" t="s">
        <v>135</v>
      </c>
      <c r="H130" s="11" t="s">
        <v>168</v>
      </c>
      <c r="I130" s="11" t="s">
        <v>16</v>
      </c>
      <c r="J130" s="11" t="s">
        <v>17</v>
      </c>
      <c r="K130" s="11">
        <v>28</v>
      </c>
      <c r="L130" s="11" t="s">
        <v>196</v>
      </c>
      <c r="M130" s="11"/>
      <c r="N130" s="14" t="s">
        <v>45</v>
      </c>
    </row>
    <row r="131" spans="1:14" x14ac:dyDescent="0.2">
      <c r="A131" s="10"/>
      <c r="B131" s="11" t="s">
        <v>12</v>
      </c>
      <c r="C131" s="11" t="s">
        <v>13</v>
      </c>
      <c r="D131" s="11">
        <v>100</v>
      </c>
      <c r="E131" s="7" t="s">
        <v>199</v>
      </c>
      <c r="F131" s="13">
        <v>43307</v>
      </c>
      <c r="G131" s="13" t="s">
        <v>135</v>
      </c>
      <c r="H131" s="11" t="s">
        <v>168</v>
      </c>
      <c r="I131" s="11" t="s">
        <v>16</v>
      </c>
      <c r="J131" s="11" t="s">
        <v>17</v>
      </c>
      <c r="K131" s="11">
        <v>28</v>
      </c>
      <c r="L131" s="11" t="s">
        <v>196</v>
      </c>
      <c r="M131" s="11"/>
      <c r="N131" s="14" t="s">
        <v>18</v>
      </c>
    </row>
    <row r="132" spans="1:14" x14ac:dyDescent="0.2">
      <c r="A132" s="10"/>
      <c r="B132" s="11" t="s">
        <v>12</v>
      </c>
      <c r="C132" s="11" t="s">
        <v>57</v>
      </c>
      <c r="D132" s="11">
        <v>85</v>
      </c>
      <c r="E132" s="7" t="s">
        <v>199</v>
      </c>
      <c r="F132" s="13">
        <v>43307</v>
      </c>
      <c r="G132" s="13" t="s">
        <v>135</v>
      </c>
      <c r="H132" s="11" t="s">
        <v>168</v>
      </c>
      <c r="I132" s="11" t="s">
        <v>16</v>
      </c>
      <c r="J132" s="11" t="s">
        <v>17</v>
      </c>
      <c r="K132" s="11">
        <v>28</v>
      </c>
      <c r="L132" s="11" t="s">
        <v>196</v>
      </c>
      <c r="M132" s="11"/>
      <c r="N132" s="14" t="s">
        <v>58</v>
      </c>
    </row>
    <row r="133" spans="1:14" x14ac:dyDescent="0.2">
      <c r="A133" s="10"/>
      <c r="B133" s="11" t="s">
        <v>12</v>
      </c>
      <c r="C133" s="11" t="s">
        <v>80</v>
      </c>
      <c r="D133" s="11">
        <v>85</v>
      </c>
      <c r="E133" s="7" t="s">
        <v>199</v>
      </c>
      <c r="F133" s="13">
        <v>43307</v>
      </c>
      <c r="G133" s="13" t="s">
        <v>135</v>
      </c>
      <c r="H133" s="11" t="s">
        <v>168</v>
      </c>
      <c r="I133" s="11" t="s">
        <v>16</v>
      </c>
      <c r="J133" s="11" t="s">
        <v>17</v>
      </c>
      <c r="K133" s="11">
        <v>28</v>
      </c>
      <c r="L133" s="11" t="s">
        <v>196</v>
      </c>
      <c r="M133" s="11"/>
      <c r="N133" s="14" t="s">
        <v>82</v>
      </c>
    </row>
    <row r="134" spans="1:14" x14ac:dyDescent="0.2">
      <c r="A134" s="10"/>
      <c r="B134" s="11" t="s">
        <v>12</v>
      </c>
      <c r="C134" s="11" t="s">
        <v>13</v>
      </c>
      <c r="D134" s="11">
        <v>10</v>
      </c>
      <c r="E134" s="7" t="s">
        <v>199</v>
      </c>
      <c r="F134" s="13">
        <v>43307</v>
      </c>
      <c r="G134" s="13" t="s">
        <v>108</v>
      </c>
      <c r="H134" s="11" t="s">
        <v>189</v>
      </c>
      <c r="I134" s="11" t="s">
        <v>16</v>
      </c>
      <c r="J134" s="11" t="s">
        <v>17</v>
      </c>
      <c r="K134" s="11">
        <v>29</v>
      </c>
      <c r="L134" s="11" t="s">
        <v>198</v>
      </c>
      <c r="M134" s="11" t="s">
        <v>154</v>
      </c>
      <c r="N134" s="14" t="s">
        <v>18</v>
      </c>
    </row>
    <row r="135" spans="1:14" x14ac:dyDescent="0.2">
      <c r="A135" s="10"/>
      <c r="B135" s="11" t="s">
        <v>12</v>
      </c>
      <c r="C135" s="11" t="s">
        <v>65</v>
      </c>
      <c r="D135" s="11">
        <v>15</v>
      </c>
      <c r="E135" s="7" t="s">
        <v>199</v>
      </c>
      <c r="F135" s="13">
        <v>43307</v>
      </c>
      <c r="G135" s="13" t="s">
        <v>108</v>
      </c>
      <c r="H135" s="11" t="s">
        <v>189</v>
      </c>
      <c r="I135" s="11" t="s">
        <v>16</v>
      </c>
      <c r="J135" s="11" t="s">
        <v>17</v>
      </c>
      <c r="K135" s="11">
        <v>29</v>
      </c>
      <c r="L135" s="11" t="s">
        <v>198</v>
      </c>
      <c r="M135" s="11" t="s">
        <v>154</v>
      </c>
      <c r="N135" s="14" t="s">
        <v>66</v>
      </c>
    </row>
    <row r="136" spans="1:14" x14ac:dyDescent="0.2">
      <c r="A136" s="10"/>
      <c r="B136" s="11" t="s">
        <v>12</v>
      </c>
      <c r="C136" s="11" t="s">
        <v>40</v>
      </c>
      <c r="D136" s="11">
        <v>100</v>
      </c>
      <c r="E136" s="7" t="s">
        <v>199</v>
      </c>
      <c r="F136" s="13">
        <v>43307</v>
      </c>
      <c r="G136" s="13" t="s">
        <v>108</v>
      </c>
      <c r="H136" s="11" t="s">
        <v>189</v>
      </c>
      <c r="I136" s="11" t="s">
        <v>16</v>
      </c>
      <c r="J136" s="11" t="s">
        <v>17</v>
      </c>
      <c r="K136" s="11">
        <v>29</v>
      </c>
      <c r="L136" s="11" t="s">
        <v>198</v>
      </c>
      <c r="M136" s="11" t="s">
        <v>154</v>
      </c>
      <c r="N136" s="14" t="s">
        <v>41</v>
      </c>
    </row>
    <row r="137" spans="1:14" x14ac:dyDescent="0.2">
      <c r="A137" s="10"/>
      <c r="B137" s="11" t="s">
        <v>12</v>
      </c>
      <c r="C137" s="11" t="s">
        <v>49</v>
      </c>
      <c r="D137" s="11">
        <v>40</v>
      </c>
      <c r="E137" s="7" t="s">
        <v>199</v>
      </c>
      <c r="F137" s="13">
        <v>43307</v>
      </c>
      <c r="G137" s="13" t="s">
        <v>112</v>
      </c>
      <c r="H137" s="11" t="s">
        <v>113</v>
      </c>
      <c r="I137" s="11" t="s">
        <v>24</v>
      </c>
      <c r="J137" s="11" t="s">
        <v>25</v>
      </c>
      <c r="K137" s="11">
        <v>30</v>
      </c>
      <c r="L137" s="11" t="s">
        <v>195</v>
      </c>
      <c r="M137" s="11"/>
      <c r="N137" s="14" t="s">
        <v>50</v>
      </c>
    </row>
    <row r="138" spans="1:14" x14ac:dyDescent="0.2">
      <c r="A138" s="10"/>
      <c r="B138" s="11" t="s">
        <v>33</v>
      </c>
      <c r="C138" s="11" t="s">
        <v>34</v>
      </c>
      <c r="D138" s="11">
        <v>36</v>
      </c>
      <c r="E138" s="7" t="s">
        <v>199</v>
      </c>
      <c r="F138" s="13">
        <v>43307</v>
      </c>
      <c r="G138" s="13" t="s">
        <v>112</v>
      </c>
      <c r="H138" s="11" t="s">
        <v>113</v>
      </c>
      <c r="I138" s="11" t="s">
        <v>24</v>
      </c>
      <c r="J138" s="11" t="s">
        <v>25</v>
      </c>
      <c r="K138" s="11">
        <v>30</v>
      </c>
      <c r="L138" s="11" t="s">
        <v>195</v>
      </c>
      <c r="M138" s="11"/>
      <c r="N138" s="14" t="s">
        <v>35</v>
      </c>
    </row>
    <row r="139" spans="1:14" x14ac:dyDescent="0.2">
      <c r="A139" s="10"/>
      <c r="B139" s="11" t="s">
        <v>33</v>
      </c>
      <c r="C139" s="11" t="s">
        <v>36</v>
      </c>
      <c r="D139" s="11">
        <v>41</v>
      </c>
      <c r="E139" s="7" t="s">
        <v>199</v>
      </c>
      <c r="F139" s="13">
        <v>43307</v>
      </c>
      <c r="G139" s="13" t="s">
        <v>112</v>
      </c>
      <c r="H139" s="11" t="s">
        <v>113</v>
      </c>
      <c r="I139" s="11" t="s">
        <v>24</v>
      </c>
      <c r="J139" s="11" t="s">
        <v>25</v>
      </c>
      <c r="K139" s="11">
        <v>30</v>
      </c>
      <c r="L139" s="11" t="s">
        <v>195</v>
      </c>
      <c r="M139" s="11"/>
      <c r="N139" s="14" t="s">
        <v>37</v>
      </c>
    </row>
    <row r="140" spans="1:14" x14ac:dyDescent="0.2">
      <c r="A140" s="10"/>
      <c r="B140" s="11" t="s">
        <v>33</v>
      </c>
      <c r="C140" s="11" t="s">
        <v>53</v>
      </c>
      <c r="D140" s="11">
        <v>20</v>
      </c>
      <c r="E140" s="7" t="s">
        <v>199</v>
      </c>
      <c r="F140" s="13">
        <v>43307</v>
      </c>
      <c r="G140" s="13" t="s">
        <v>112</v>
      </c>
      <c r="H140" s="11" t="s">
        <v>113</v>
      </c>
      <c r="I140" s="11" t="s">
        <v>24</v>
      </c>
      <c r="J140" s="11" t="s">
        <v>25</v>
      </c>
      <c r="K140" s="11">
        <v>30</v>
      </c>
      <c r="L140" s="11" t="s">
        <v>195</v>
      </c>
      <c r="M140" s="11"/>
      <c r="N140" s="14" t="s">
        <v>54</v>
      </c>
    </row>
    <row r="141" spans="1:14" x14ac:dyDescent="0.2">
      <c r="A141" s="10"/>
      <c r="B141" s="11" t="s">
        <v>12</v>
      </c>
      <c r="C141" s="11" t="s">
        <v>19</v>
      </c>
      <c r="D141" s="11">
        <v>300</v>
      </c>
      <c r="E141" s="7" t="s">
        <v>199</v>
      </c>
      <c r="F141" s="13">
        <v>43307</v>
      </c>
      <c r="G141" s="13" t="s">
        <v>112</v>
      </c>
      <c r="H141" s="11" t="s">
        <v>113</v>
      </c>
      <c r="I141" s="11" t="s">
        <v>16</v>
      </c>
      <c r="J141" s="11" t="s">
        <v>17</v>
      </c>
      <c r="K141" s="11">
        <v>30</v>
      </c>
      <c r="L141" s="11" t="s">
        <v>195</v>
      </c>
      <c r="M141" s="11"/>
      <c r="N141" s="14" t="s">
        <v>20</v>
      </c>
    </row>
    <row r="142" spans="1:14" x14ac:dyDescent="0.2">
      <c r="A142" s="10"/>
      <c r="B142" s="11" t="s">
        <v>12</v>
      </c>
      <c r="C142" s="11" t="s">
        <v>21</v>
      </c>
      <c r="D142" s="11">
        <v>40</v>
      </c>
      <c r="E142" s="7" t="s">
        <v>199</v>
      </c>
      <c r="F142" s="13">
        <v>43307</v>
      </c>
      <c r="G142" s="13" t="s">
        <v>146</v>
      </c>
      <c r="H142" s="11" t="s">
        <v>153</v>
      </c>
      <c r="I142" s="11" t="s">
        <v>24</v>
      </c>
      <c r="J142" s="11" t="s">
        <v>25</v>
      </c>
      <c r="K142" s="11">
        <v>31</v>
      </c>
      <c r="L142" s="11" t="s">
        <v>195</v>
      </c>
      <c r="M142" s="11"/>
      <c r="N142" s="14" t="s">
        <v>26</v>
      </c>
    </row>
    <row r="143" spans="1:14" x14ac:dyDescent="0.2">
      <c r="A143" s="10"/>
      <c r="B143" s="11" t="s">
        <v>12</v>
      </c>
      <c r="C143" s="11" t="s">
        <v>27</v>
      </c>
      <c r="D143" s="11">
        <v>30</v>
      </c>
      <c r="E143" s="7" t="s">
        <v>199</v>
      </c>
      <c r="F143" s="13">
        <v>43307</v>
      </c>
      <c r="G143" s="13" t="s">
        <v>146</v>
      </c>
      <c r="H143" s="11" t="s">
        <v>153</v>
      </c>
      <c r="I143" s="11" t="s">
        <v>24</v>
      </c>
      <c r="J143" s="11" t="s">
        <v>25</v>
      </c>
      <c r="K143" s="11">
        <v>31</v>
      </c>
      <c r="L143" s="11" t="s">
        <v>195</v>
      </c>
      <c r="M143" s="11"/>
      <c r="N143" s="14" t="s">
        <v>28</v>
      </c>
    </row>
    <row r="144" spans="1:14" x14ac:dyDescent="0.2">
      <c r="A144" s="10"/>
      <c r="B144" s="11" t="s">
        <v>12</v>
      </c>
      <c r="C144" s="11" t="s">
        <v>29</v>
      </c>
      <c r="D144" s="11">
        <v>5</v>
      </c>
      <c r="E144" s="7" t="s">
        <v>199</v>
      </c>
      <c r="F144" s="13">
        <v>43307</v>
      </c>
      <c r="G144" s="13" t="s">
        <v>146</v>
      </c>
      <c r="H144" s="11" t="s">
        <v>153</v>
      </c>
      <c r="I144" s="11" t="s">
        <v>24</v>
      </c>
      <c r="J144" s="11" t="s">
        <v>25</v>
      </c>
      <c r="K144" s="11">
        <v>31</v>
      </c>
      <c r="L144" s="11" t="s">
        <v>195</v>
      </c>
      <c r="M144" s="11"/>
      <c r="N144" s="22" t="s">
        <v>30</v>
      </c>
    </row>
    <row r="145" spans="1:14" x14ac:dyDescent="0.2">
      <c r="A145" s="10"/>
      <c r="B145" s="11" t="s">
        <v>92</v>
      </c>
      <c r="C145" s="11" t="s">
        <v>93</v>
      </c>
      <c r="D145" s="11">
        <v>5</v>
      </c>
      <c r="E145" s="7" t="s">
        <v>199</v>
      </c>
      <c r="F145" s="13">
        <v>43307</v>
      </c>
      <c r="G145" s="13" t="s">
        <v>146</v>
      </c>
      <c r="H145" s="11" t="s">
        <v>153</v>
      </c>
      <c r="I145" s="11" t="s">
        <v>24</v>
      </c>
      <c r="J145" s="11" t="s">
        <v>25</v>
      </c>
      <c r="K145" s="11">
        <v>31</v>
      </c>
      <c r="L145" s="11" t="s">
        <v>195</v>
      </c>
      <c r="M145" s="11"/>
      <c r="N145" s="22" t="s">
        <v>95</v>
      </c>
    </row>
    <row r="146" spans="1:14" x14ac:dyDescent="0.2">
      <c r="A146" s="10"/>
      <c r="B146" s="11" t="s">
        <v>92</v>
      </c>
      <c r="C146" s="11" t="s">
        <v>96</v>
      </c>
      <c r="D146" s="11">
        <v>252</v>
      </c>
      <c r="E146" s="7" t="s">
        <v>199</v>
      </c>
      <c r="F146" s="13">
        <v>43307</v>
      </c>
      <c r="G146" s="13" t="s">
        <v>146</v>
      </c>
      <c r="H146" s="11" t="s">
        <v>153</v>
      </c>
      <c r="I146" s="11" t="s">
        <v>24</v>
      </c>
      <c r="J146" s="11" t="s">
        <v>25</v>
      </c>
      <c r="K146" s="11">
        <v>31</v>
      </c>
      <c r="L146" s="11" t="s">
        <v>195</v>
      </c>
      <c r="M146" s="11"/>
      <c r="N146" s="14" t="s">
        <v>97</v>
      </c>
    </row>
    <row r="147" spans="1:14" x14ac:dyDescent="0.2">
      <c r="A147" s="10"/>
      <c r="B147" s="11" t="s">
        <v>12</v>
      </c>
      <c r="C147" s="11" t="s">
        <v>51</v>
      </c>
      <c r="D147" s="11">
        <v>3</v>
      </c>
      <c r="E147" s="7" t="s">
        <v>199</v>
      </c>
      <c r="F147" s="13">
        <v>43307</v>
      </c>
      <c r="G147" s="13" t="s">
        <v>146</v>
      </c>
      <c r="H147" s="11" t="s">
        <v>153</v>
      </c>
      <c r="I147" s="11" t="s">
        <v>24</v>
      </c>
      <c r="J147" s="11" t="s">
        <v>25</v>
      </c>
      <c r="K147" s="11">
        <v>31</v>
      </c>
      <c r="L147" s="11" t="s">
        <v>195</v>
      </c>
      <c r="M147" s="11"/>
      <c r="N147" s="14" t="s">
        <v>52</v>
      </c>
    </row>
    <row r="148" spans="1:14" x14ac:dyDescent="0.2">
      <c r="A148" s="10"/>
      <c r="B148" s="11" t="s">
        <v>12</v>
      </c>
      <c r="C148" s="11" t="s">
        <v>49</v>
      </c>
      <c r="D148" s="11">
        <v>30</v>
      </c>
      <c r="E148" s="7" t="s">
        <v>199</v>
      </c>
      <c r="F148" s="13">
        <v>43307</v>
      </c>
      <c r="G148" s="13" t="s">
        <v>146</v>
      </c>
      <c r="H148" s="11" t="s">
        <v>153</v>
      </c>
      <c r="I148" s="11" t="s">
        <v>24</v>
      </c>
      <c r="J148" s="11" t="s">
        <v>25</v>
      </c>
      <c r="K148" s="11">
        <v>32</v>
      </c>
      <c r="L148" s="11" t="s">
        <v>195</v>
      </c>
      <c r="M148" s="11"/>
      <c r="N148" s="14" t="s">
        <v>50</v>
      </c>
    </row>
    <row r="149" spans="1:14" x14ac:dyDescent="0.2">
      <c r="A149" s="10"/>
      <c r="B149" s="11" t="s">
        <v>33</v>
      </c>
      <c r="C149" s="11" t="s">
        <v>34</v>
      </c>
      <c r="D149" s="11">
        <v>150</v>
      </c>
      <c r="E149" s="7" t="s">
        <v>199</v>
      </c>
      <c r="F149" s="13">
        <v>43307</v>
      </c>
      <c r="G149" s="13" t="s">
        <v>146</v>
      </c>
      <c r="H149" s="11" t="s">
        <v>153</v>
      </c>
      <c r="I149" s="11" t="s">
        <v>24</v>
      </c>
      <c r="J149" s="11" t="s">
        <v>25</v>
      </c>
      <c r="K149" s="11">
        <v>32</v>
      </c>
      <c r="L149" s="11" t="s">
        <v>195</v>
      </c>
      <c r="M149" s="11"/>
      <c r="N149" s="14" t="s">
        <v>35</v>
      </c>
    </row>
    <row r="150" spans="1:14" x14ac:dyDescent="0.2">
      <c r="A150" s="10"/>
      <c r="B150" s="11" t="s">
        <v>33</v>
      </c>
      <c r="C150" s="11" t="s">
        <v>36</v>
      </c>
      <c r="D150" s="11">
        <v>80</v>
      </c>
      <c r="E150" s="7" t="s">
        <v>199</v>
      </c>
      <c r="F150" s="13">
        <v>43307</v>
      </c>
      <c r="G150" s="13" t="s">
        <v>146</v>
      </c>
      <c r="H150" s="11" t="s">
        <v>153</v>
      </c>
      <c r="I150" s="11" t="s">
        <v>24</v>
      </c>
      <c r="J150" s="11" t="s">
        <v>25</v>
      </c>
      <c r="K150" s="11">
        <v>32</v>
      </c>
      <c r="L150" s="11" t="s">
        <v>195</v>
      </c>
      <c r="M150" s="11"/>
      <c r="N150" s="14" t="s">
        <v>37</v>
      </c>
    </row>
    <row r="151" spans="1:14" x14ac:dyDescent="0.2">
      <c r="A151" s="10"/>
      <c r="B151" s="11" t="s">
        <v>33</v>
      </c>
      <c r="C151" s="11" t="s">
        <v>53</v>
      </c>
      <c r="D151" s="11">
        <v>85</v>
      </c>
      <c r="E151" s="7" t="s">
        <v>199</v>
      </c>
      <c r="F151" s="13">
        <v>43307</v>
      </c>
      <c r="G151" s="13" t="s">
        <v>146</v>
      </c>
      <c r="H151" s="11" t="s">
        <v>153</v>
      </c>
      <c r="I151" s="11" t="s">
        <v>24</v>
      </c>
      <c r="J151" s="11" t="s">
        <v>25</v>
      </c>
      <c r="K151" s="11">
        <v>32</v>
      </c>
      <c r="L151" s="11" t="s">
        <v>195</v>
      </c>
      <c r="M151" s="11"/>
      <c r="N151" s="14" t="s">
        <v>54</v>
      </c>
    </row>
    <row r="152" spans="1:14" x14ac:dyDescent="0.2">
      <c r="A152" s="10"/>
      <c r="B152" s="11" t="s">
        <v>12</v>
      </c>
      <c r="C152" s="11" t="s">
        <v>44</v>
      </c>
      <c r="D152" s="11">
        <v>10</v>
      </c>
      <c r="E152" s="7" t="s">
        <v>199</v>
      </c>
      <c r="F152" s="13">
        <v>43307</v>
      </c>
      <c r="G152" s="13" t="s">
        <v>146</v>
      </c>
      <c r="H152" s="11" t="s">
        <v>153</v>
      </c>
      <c r="I152" s="11" t="s">
        <v>16</v>
      </c>
      <c r="J152" s="11" t="s">
        <v>17</v>
      </c>
      <c r="K152" s="11">
        <v>33</v>
      </c>
      <c r="L152" s="11" t="s">
        <v>195</v>
      </c>
      <c r="M152" s="11"/>
      <c r="N152" s="14" t="s">
        <v>45</v>
      </c>
    </row>
    <row r="153" spans="1:14" x14ac:dyDescent="0.2">
      <c r="A153" s="10"/>
      <c r="B153" s="11" t="s">
        <v>12</v>
      </c>
      <c r="C153" s="11" t="s">
        <v>13</v>
      </c>
      <c r="D153" s="11">
        <v>7</v>
      </c>
      <c r="E153" s="7" t="s">
        <v>199</v>
      </c>
      <c r="F153" s="13">
        <v>43307</v>
      </c>
      <c r="G153" s="13" t="s">
        <v>146</v>
      </c>
      <c r="H153" s="11" t="s">
        <v>153</v>
      </c>
      <c r="I153" s="11" t="s">
        <v>16</v>
      </c>
      <c r="J153" s="11" t="s">
        <v>17</v>
      </c>
      <c r="K153" s="11">
        <v>33</v>
      </c>
      <c r="L153" s="11" t="s">
        <v>195</v>
      </c>
      <c r="M153" s="11"/>
      <c r="N153" s="14" t="s">
        <v>18</v>
      </c>
    </row>
    <row r="154" spans="1:14" x14ac:dyDescent="0.2">
      <c r="A154" s="10"/>
      <c r="B154" s="11" t="s">
        <v>12</v>
      </c>
      <c r="C154" s="11" t="s">
        <v>38</v>
      </c>
      <c r="D154" s="11">
        <v>12</v>
      </c>
      <c r="E154" s="7" t="s">
        <v>199</v>
      </c>
      <c r="F154" s="13">
        <v>43307</v>
      </c>
      <c r="G154" s="13" t="s">
        <v>146</v>
      </c>
      <c r="H154" s="11" t="s">
        <v>153</v>
      </c>
      <c r="I154" s="11" t="s">
        <v>16</v>
      </c>
      <c r="J154" s="11" t="s">
        <v>17</v>
      </c>
      <c r="K154" s="11">
        <v>33</v>
      </c>
      <c r="L154" s="11" t="s">
        <v>195</v>
      </c>
      <c r="M154" s="11"/>
      <c r="N154" s="14" t="s">
        <v>39</v>
      </c>
    </row>
    <row r="155" spans="1:14" x14ac:dyDescent="0.2">
      <c r="A155" s="10"/>
      <c r="B155" s="11" t="s">
        <v>12</v>
      </c>
      <c r="C155" s="11" t="s">
        <v>19</v>
      </c>
      <c r="D155" s="11">
        <v>180</v>
      </c>
      <c r="E155" s="7" t="s">
        <v>199</v>
      </c>
      <c r="F155" s="13">
        <v>43307</v>
      </c>
      <c r="G155" s="13" t="s">
        <v>146</v>
      </c>
      <c r="H155" s="11" t="s">
        <v>153</v>
      </c>
      <c r="I155" s="11" t="s">
        <v>16</v>
      </c>
      <c r="J155" s="11" t="s">
        <v>17</v>
      </c>
      <c r="K155" s="11">
        <v>33</v>
      </c>
      <c r="L155" s="11" t="s">
        <v>195</v>
      </c>
      <c r="M155" s="11"/>
      <c r="N155" s="14" t="s">
        <v>20</v>
      </c>
    </row>
    <row r="156" spans="1:14" x14ac:dyDescent="0.2">
      <c r="A156" s="10"/>
      <c r="B156" s="11" t="s">
        <v>12</v>
      </c>
      <c r="C156" s="11" t="s">
        <v>65</v>
      </c>
      <c r="D156" s="11">
        <v>32</v>
      </c>
      <c r="E156" s="7" t="s">
        <v>199</v>
      </c>
      <c r="F156" s="13">
        <v>43307</v>
      </c>
      <c r="G156" s="13" t="s">
        <v>146</v>
      </c>
      <c r="H156" s="11" t="s">
        <v>153</v>
      </c>
      <c r="I156" s="11" t="s">
        <v>16</v>
      </c>
      <c r="J156" s="11" t="s">
        <v>17</v>
      </c>
      <c r="K156" s="11">
        <v>33</v>
      </c>
      <c r="L156" s="11" t="s">
        <v>195</v>
      </c>
      <c r="M156" s="11"/>
      <c r="N156" s="14" t="s">
        <v>66</v>
      </c>
    </row>
    <row r="157" spans="1:14" x14ac:dyDescent="0.2">
      <c r="A157" s="10"/>
      <c r="B157" s="11" t="s">
        <v>12</v>
      </c>
      <c r="C157" s="11" t="s">
        <v>40</v>
      </c>
      <c r="D157" s="11">
        <v>25</v>
      </c>
      <c r="E157" s="7" t="s">
        <v>199</v>
      </c>
      <c r="F157" s="13">
        <v>43307</v>
      </c>
      <c r="G157" s="13" t="s">
        <v>146</v>
      </c>
      <c r="H157" s="11" t="s">
        <v>153</v>
      </c>
      <c r="I157" s="11" t="s">
        <v>16</v>
      </c>
      <c r="J157" s="11" t="s">
        <v>17</v>
      </c>
      <c r="K157" s="11">
        <v>33</v>
      </c>
      <c r="L157" s="11" t="s">
        <v>195</v>
      </c>
      <c r="M157" s="11"/>
      <c r="N157" s="14" t="s">
        <v>41</v>
      </c>
    </row>
    <row r="158" spans="1:14" x14ac:dyDescent="0.2">
      <c r="A158" s="10"/>
      <c r="B158" s="11" t="s">
        <v>12</v>
      </c>
      <c r="C158" s="11" t="s">
        <v>80</v>
      </c>
      <c r="D158" s="11">
        <v>4</v>
      </c>
      <c r="E158" s="7" t="s">
        <v>199</v>
      </c>
      <c r="F158" s="13">
        <v>43307</v>
      </c>
      <c r="G158" s="13" t="s">
        <v>146</v>
      </c>
      <c r="H158" s="11" t="s">
        <v>153</v>
      </c>
      <c r="I158" s="11" t="s">
        <v>16</v>
      </c>
      <c r="J158" s="11" t="s">
        <v>17</v>
      </c>
      <c r="K158" s="11">
        <v>33</v>
      </c>
      <c r="L158" s="11" t="s">
        <v>195</v>
      </c>
      <c r="M158" s="11"/>
      <c r="N158" s="14" t="s">
        <v>82</v>
      </c>
    </row>
    <row r="159" spans="1:14" x14ac:dyDescent="0.2">
      <c r="A159" s="10"/>
      <c r="B159" s="11" t="s">
        <v>33</v>
      </c>
      <c r="C159" s="11" t="s">
        <v>34</v>
      </c>
      <c r="D159" s="11">
        <v>65</v>
      </c>
      <c r="E159" s="7" t="s">
        <v>199</v>
      </c>
      <c r="F159" s="13">
        <v>43307</v>
      </c>
      <c r="G159" s="13" t="s">
        <v>114</v>
      </c>
      <c r="H159" s="11" t="s">
        <v>190</v>
      </c>
      <c r="I159" s="11" t="s">
        <v>24</v>
      </c>
      <c r="J159" s="11" t="s">
        <v>25</v>
      </c>
      <c r="K159" s="11">
        <v>34</v>
      </c>
      <c r="L159" s="11" t="s">
        <v>194</v>
      </c>
      <c r="M159" s="11"/>
      <c r="N159" s="14" t="s">
        <v>35</v>
      </c>
    </row>
    <row r="160" spans="1:14" x14ac:dyDescent="0.2">
      <c r="A160" s="10"/>
      <c r="B160" s="11" t="s">
        <v>33</v>
      </c>
      <c r="C160" s="11" t="s">
        <v>36</v>
      </c>
      <c r="D160" s="11">
        <v>150</v>
      </c>
      <c r="E160" s="7" t="s">
        <v>199</v>
      </c>
      <c r="F160" s="13">
        <v>43307</v>
      </c>
      <c r="G160" s="13" t="s">
        <v>114</v>
      </c>
      <c r="H160" s="11" t="s">
        <v>190</v>
      </c>
      <c r="I160" s="11" t="s">
        <v>24</v>
      </c>
      <c r="J160" s="11" t="s">
        <v>25</v>
      </c>
      <c r="K160" s="11">
        <v>34</v>
      </c>
      <c r="L160" s="11" t="s">
        <v>194</v>
      </c>
      <c r="M160" s="11"/>
      <c r="N160" s="14" t="s">
        <v>37</v>
      </c>
    </row>
    <row r="161" spans="1:14" x14ac:dyDescent="0.2">
      <c r="A161" s="10"/>
      <c r="B161" s="11" t="s">
        <v>33</v>
      </c>
      <c r="C161" s="11" t="s">
        <v>53</v>
      </c>
      <c r="D161" s="11">
        <v>2</v>
      </c>
      <c r="E161" s="7" t="s">
        <v>199</v>
      </c>
      <c r="F161" s="13">
        <v>43307</v>
      </c>
      <c r="G161" s="13" t="s">
        <v>114</v>
      </c>
      <c r="H161" s="11" t="s">
        <v>190</v>
      </c>
      <c r="I161" s="11" t="s">
        <v>24</v>
      </c>
      <c r="J161" s="11" t="s">
        <v>25</v>
      </c>
      <c r="K161" s="11">
        <v>34</v>
      </c>
      <c r="L161" s="11" t="s">
        <v>194</v>
      </c>
      <c r="M161" s="11"/>
      <c r="N161" s="14" t="s">
        <v>54</v>
      </c>
    </row>
    <row r="162" spans="1:14" x14ac:dyDescent="0.2">
      <c r="A162" s="10"/>
      <c r="B162" s="11" t="s">
        <v>12</v>
      </c>
      <c r="C162" s="11" t="s">
        <v>13</v>
      </c>
      <c r="D162" s="11">
        <v>1</v>
      </c>
      <c r="E162" s="7" t="s">
        <v>199</v>
      </c>
      <c r="F162" s="13">
        <v>43307</v>
      </c>
      <c r="G162" s="13" t="s">
        <v>114</v>
      </c>
      <c r="H162" s="11" t="s">
        <v>190</v>
      </c>
      <c r="I162" s="11" t="s">
        <v>16</v>
      </c>
      <c r="J162" s="11" t="s">
        <v>17</v>
      </c>
      <c r="K162" s="11">
        <v>34</v>
      </c>
      <c r="L162" s="11" t="s">
        <v>194</v>
      </c>
      <c r="M162" s="11"/>
      <c r="N162" s="14" t="s">
        <v>18</v>
      </c>
    </row>
    <row r="163" spans="1:14" x14ac:dyDescent="0.2">
      <c r="A163" s="10"/>
      <c r="B163" s="11" t="s">
        <v>12</v>
      </c>
      <c r="C163" s="11" t="s">
        <v>19</v>
      </c>
      <c r="D163" s="11">
        <v>800</v>
      </c>
      <c r="E163" s="7" t="s">
        <v>199</v>
      </c>
      <c r="F163" s="13">
        <v>43307</v>
      </c>
      <c r="G163" s="13" t="s">
        <v>114</v>
      </c>
      <c r="H163" s="11" t="s">
        <v>190</v>
      </c>
      <c r="I163" s="11" t="s">
        <v>16</v>
      </c>
      <c r="J163" s="11" t="s">
        <v>17</v>
      </c>
      <c r="K163" s="11">
        <v>34</v>
      </c>
      <c r="L163" s="11" t="s">
        <v>194</v>
      </c>
      <c r="M163" s="11"/>
      <c r="N163" s="14" t="s">
        <v>20</v>
      </c>
    </row>
    <row r="164" spans="1:14" x14ac:dyDescent="0.2">
      <c r="A164" s="10"/>
      <c r="B164" s="11" t="s">
        <v>12</v>
      </c>
      <c r="C164" s="11" t="s">
        <v>21</v>
      </c>
      <c r="D164" s="11">
        <v>115</v>
      </c>
      <c r="E164" s="7" t="s">
        <v>199</v>
      </c>
      <c r="F164" s="13">
        <v>43307</v>
      </c>
      <c r="G164" s="13" t="s">
        <v>115</v>
      </c>
      <c r="H164" s="11" t="s">
        <v>191</v>
      </c>
      <c r="I164" s="11" t="s">
        <v>24</v>
      </c>
      <c r="J164" s="11" t="s">
        <v>25</v>
      </c>
      <c r="K164" s="11">
        <v>36</v>
      </c>
      <c r="L164" s="11" t="s">
        <v>194</v>
      </c>
      <c r="M164" s="11"/>
      <c r="N164" s="14" t="s">
        <v>26</v>
      </c>
    </row>
    <row r="165" spans="1:14" x14ac:dyDescent="0.2">
      <c r="A165" s="10"/>
      <c r="B165" s="11" t="s">
        <v>12</v>
      </c>
      <c r="C165" s="11" t="s">
        <v>27</v>
      </c>
      <c r="D165" s="11">
        <v>180</v>
      </c>
      <c r="E165" s="7" t="s">
        <v>199</v>
      </c>
      <c r="F165" s="13">
        <v>43307</v>
      </c>
      <c r="G165" s="13" t="s">
        <v>115</v>
      </c>
      <c r="H165" s="11" t="s">
        <v>191</v>
      </c>
      <c r="I165" s="11" t="s">
        <v>24</v>
      </c>
      <c r="J165" s="11" t="s">
        <v>25</v>
      </c>
      <c r="K165" s="11">
        <v>36</v>
      </c>
      <c r="L165" s="11" t="s">
        <v>194</v>
      </c>
      <c r="M165" s="11"/>
      <c r="N165" s="14" t="s">
        <v>28</v>
      </c>
    </row>
    <row r="166" spans="1:14" x14ac:dyDescent="0.2">
      <c r="A166" s="10"/>
      <c r="B166" s="11" t="s">
        <v>92</v>
      </c>
      <c r="C166" s="11" t="s">
        <v>109</v>
      </c>
      <c r="D166" s="11">
        <v>140</v>
      </c>
      <c r="E166" s="7" t="s">
        <v>199</v>
      </c>
      <c r="F166" s="13">
        <v>43307</v>
      </c>
      <c r="G166" s="13" t="s">
        <v>115</v>
      </c>
      <c r="H166" s="11" t="s">
        <v>191</v>
      </c>
      <c r="I166" s="11" t="s">
        <v>24</v>
      </c>
      <c r="J166" s="11" t="s">
        <v>25</v>
      </c>
      <c r="K166" s="11">
        <v>36</v>
      </c>
      <c r="L166" s="11" t="s">
        <v>194</v>
      </c>
      <c r="M166" s="11"/>
      <c r="N166" s="14" t="s">
        <v>110</v>
      </c>
    </row>
    <row r="167" spans="1:14" x14ac:dyDescent="0.2">
      <c r="A167" s="10"/>
      <c r="B167" s="11" t="s">
        <v>92</v>
      </c>
      <c r="C167" s="11" t="s">
        <v>96</v>
      </c>
      <c r="D167" s="11">
        <v>330</v>
      </c>
      <c r="E167" s="7" t="s">
        <v>199</v>
      </c>
      <c r="F167" s="13">
        <v>43307</v>
      </c>
      <c r="G167" s="13" t="s">
        <v>115</v>
      </c>
      <c r="H167" s="11" t="s">
        <v>191</v>
      </c>
      <c r="I167" s="11" t="s">
        <v>24</v>
      </c>
      <c r="J167" s="11" t="s">
        <v>25</v>
      </c>
      <c r="K167" s="11">
        <v>36</v>
      </c>
      <c r="L167" s="11" t="s">
        <v>194</v>
      </c>
      <c r="M167" s="11"/>
      <c r="N167" s="14" t="s">
        <v>97</v>
      </c>
    </row>
    <row r="168" spans="1:14" x14ac:dyDescent="0.2">
      <c r="A168" s="10"/>
      <c r="B168" s="11" t="s">
        <v>12</v>
      </c>
      <c r="C168" s="11" t="s">
        <v>49</v>
      </c>
      <c r="D168" s="11">
        <v>32</v>
      </c>
      <c r="E168" s="7" t="s">
        <v>199</v>
      </c>
      <c r="F168" s="13">
        <v>43307</v>
      </c>
      <c r="G168" s="13" t="s">
        <v>115</v>
      </c>
      <c r="H168" s="11" t="s">
        <v>191</v>
      </c>
      <c r="I168" s="11" t="s">
        <v>24</v>
      </c>
      <c r="J168" s="11" t="s">
        <v>25</v>
      </c>
      <c r="K168" s="11">
        <v>36</v>
      </c>
      <c r="L168" s="11" t="s">
        <v>194</v>
      </c>
      <c r="M168" s="11"/>
      <c r="N168" s="14" t="s">
        <v>50</v>
      </c>
    </row>
    <row r="169" spans="1:14" x14ac:dyDescent="0.2">
      <c r="A169" s="10"/>
      <c r="B169" s="11" t="s">
        <v>12</v>
      </c>
      <c r="C169" s="11" t="s">
        <v>51</v>
      </c>
      <c r="D169" s="11">
        <v>104</v>
      </c>
      <c r="E169" s="7" t="s">
        <v>199</v>
      </c>
      <c r="F169" s="13">
        <v>43307</v>
      </c>
      <c r="G169" s="13" t="s">
        <v>115</v>
      </c>
      <c r="H169" s="11" t="s">
        <v>191</v>
      </c>
      <c r="I169" s="11" t="s">
        <v>24</v>
      </c>
      <c r="J169" s="11" t="s">
        <v>25</v>
      </c>
      <c r="K169" s="11">
        <v>36</v>
      </c>
      <c r="L169" s="11" t="s">
        <v>194</v>
      </c>
      <c r="M169" s="11"/>
      <c r="N169" s="14" t="s">
        <v>52</v>
      </c>
    </row>
    <row r="170" spans="1:14" x14ac:dyDescent="0.2">
      <c r="A170" s="10"/>
      <c r="B170" s="11" t="s">
        <v>92</v>
      </c>
      <c r="C170" s="11" t="s">
        <v>109</v>
      </c>
      <c r="D170" s="11">
        <v>60</v>
      </c>
      <c r="E170" s="7" t="s">
        <v>199</v>
      </c>
      <c r="F170" s="13">
        <v>43307</v>
      </c>
      <c r="G170" s="13" t="s">
        <v>115</v>
      </c>
      <c r="H170" s="11" t="s">
        <v>191</v>
      </c>
      <c r="I170" s="11" t="s">
        <v>24</v>
      </c>
      <c r="J170" s="11" t="s">
        <v>25</v>
      </c>
      <c r="K170" s="11">
        <v>37</v>
      </c>
      <c r="L170" s="11" t="s">
        <v>194</v>
      </c>
      <c r="M170" s="11"/>
      <c r="N170" s="14" t="s">
        <v>110</v>
      </c>
    </row>
    <row r="171" spans="1:14" x14ac:dyDescent="0.2">
      <c r="A171" s="10"/>
      <c r="B171" s="11" t="s">
        <v>92</v>
      </c>
      <c r="C171" s="11" t="s">
        <v>96</v>
      </c>
      <c r="D171" s="11">
        <v>291</v>
      </c>
      <c r="E171" s="7" t="s">
        <v>199</v>
      </c>
      <c r="F171" s="13">
        <v>43307</v>
      </c>
      <c r="G171" s="13" t="s">
        <v>115</v>
      </c>
      <c r="H171" s="11" t="s">
        <v>191</v>
      </c>
      <c r="I171" s="11" t="s">
        <v>24</v>
      </c>
      <c r="J171" s="11" t="s">
        <v>25</v>
      </c>
      <c r="K171" s="11">
        <v>37</v>
      </c>
      <c r="L171" s="11" t="s">
        <v>194</v>
      </c>
      <c r="M171" s="11"/>
      <c r="N171" s="14" t="s">
        <v>97</v>
      </c>
    </row>
    <row r="172" spans="1:14" x14ac:dyDescent="0.2">
      <c r="A172" s="10"/>
      <c r="B172" s="11" t="s">
        <v>12</v>
      </c>
      <c r="C172" s="11" t="s">
        <v>49</v>
      </c>
      <c r="D172" s="11">
        <v>25</v>
      </c>
      <c r="E172" s="7" t="s">
        <v>199</v>
      </c>
      <c r="F172" s="13">
        <v>43307</v>
      </c>
      <c r="G172" s="13" t="s">
        <v>115</v>
      </c>
      <c r="H172" s="11" t="s">
        <v>191</v>
      </c>
      <c r="I172" s="11" t="s">
        <v>24</v>
      </c>
      <c r="J172" s="11" t="s">
        <v>25</v>
      </c>
      <c r="K172" s="11">
        <v>37</v>
      </c>
      <c r="L172" s="11" t="s">
        <v>194</v>
      </c>
      <c r="M172" s="11"/>
      <c r="N172" s="14" t="s">
        <v>50</v>
      </c>
    </row>
    <row r="173" spans="1:14" x14ac:dyDescent="0.2">
      <c r="A173" s="10"/>
      <c r="B173" s="11" t="s">
        <v>33</v>
      </c>
      <c r="C173" s="11" t="s">
        <v>36</v>
      </c>
      <c r="D173" s="11">
        <v>55</v>
      </c>
      <c r="E173" s="7" t="s">
        <v>199</v>
      </c>
      <c r="F173" s="13">
        <v>43307</v>
      </c>
      <c r="G173" s="13" t="s">
        <v>115</v>
      </c>
      <c r="H173" s="11" t="s">
        <v>191</v>
      </c>
      <c r="I173" s="11" t="s">
        <v>24</v>
      </c>
      <c r="J173" s="11" t="s">
        <v>25</v>
      </c>
      <c r="K173" s="11">
        <v>37</v>
      </c>
      <c r="L173" s="11" t="s">
        <v>194</v>
      </c>
      <c r="M173" s="11"/>
      <c r="N173" s="14" t="s">
        <v>37</v>
      </c>
    </row>
    <row r="174" spans="1:14" x14ac:dyDescent="0.2">
      <c r="A174" s="10"/>
      <c r="B174" s="11" t="s">
        <v>33</v>
      </c>
      <c r="C174" s="11" t="s">
        <v>53</v>
      </c>
      <c r="D174" s="11">
        <v>315</v>
      </c>
      <c r="E174" s="7" t="s">
        <v>199</v>
      </c>
      <c r="F174" s="13">
        <v>43307</v>
      </c>
      <c r="G174" s="13" t="s">
        <v>115</v>
      </c>
      <c r="H174" s="11" t="s">
        <v>191</v>
      </c>
      <c r="I174" s="11" t="s">
        <v>24</v>
      </c>
      <c r="J174" s="11" t="s">
        <v>25</v>
      </c>
      <c r="K174" s="11">
        <v>37</v>
      </c>
      <c r="L174" s="11" t="s">
        <v>194</v>
      </c>
      <c r="M174" s="11"/>
      <c r="N174" s="14" t="s">
        <v>54</v>
      </c>
    </row>
    <row r="175" spans="1:14" x14ac:dyDescent="0.2">
      <c r="A175" s="10"/>
      <c r="B175" s="11" t="s">
        <v>12</v>
      </c>
      <c r="C175" s="11" t="s">
        <v>38</v>
      </c>
      <c r="D175" s="11">
        <v>192</v>
      </c>
      <c r="E175" s="7" t="s">
        <v>199</v>
      </c>
      <c r="F175" s="13">
        <v>43307</v>
      </c>
      <c r="G175" s="13" t="s">
        <v>115</v>
      </c>
      <c r="H175" s="11" t="s">
        <v>191</v>
      </c>
      <c r="I175" s="11" t="s">
        <v>16</v>
      </c>
      <c r="J175" s="11" t="s">
        <v>17</v>
      </c>
      <c r="K175" s="11">
        <v>37</v>
      </c>
      <c r="L175" s="11" t="s">
        <v>194</v>
      </c>
      <c r="M175" s="11"/>
      <c r="N175" s="14" t="s">
        <v>39</v>
      </c>
    </row>
    <row r="176" spans="1:14" x14ac:dyDescent="0.2">
      <c r="A176" s="10"/>
      <c r="B176" s="11" t="s">
        <v>12</v>
      </c>
      <c r="C176" s="11" t="s">
        <v>40</v>
      </c>
      <c r="D176" s="11">
        <v>51</v>
      </c>
      <c r="E176" s="7" t="s">
        <v>199</v>
      </c>
      <c r="F176" s="13">
        <v>43307</v>
      </c>
      <c r="G176" s="13" t="s">
        <v>115</v>
      </c>
      <c r="H176" s="11" t="s">
        <v>191</v>
      </c>
      <c r="I176" s="11" t="s">
        <v>16</v>
      </c>
      <c r="J176" s="11" t="s">
        <v>17</v>
      </c>
      <c r="K176" s="11">
        <v>37</v>
      </c>
      <c r="L176" s="11" t="s">
        <v>194</v>
      </c>
      <c r="M176" s="11"/>
      <c r="N176" s="14" t="s">
        <v>41</v>
      </c>
    </row>
  </sheetData>
  <autoFilter ref="A3:N176">
    <filterColumn colId="6" showButton="0"/>
    <filterColumn colId="8" showButton="0"/>
  </autoFilter>
  <sortState ref="B4:N169">
    <sortCondition ref="K4:K169"/>
    <sortCondition ref="H4:H169"/>
    <sortCondition ref="J4:J169"/>
  </sortState>
  <mergeCells count="1">
    <mergeCell ref="A1:M1"/>
  </mergeCells>
  <phoneticPr fontId="0" type="noConversion"/>
  <printOptions horizontalCentered="1"/>
  <pageMargins left="0" right="0" top="0.5" bottom="0.5" header="0" footer="0"/>
  <pageSetup paperSize="9" scale="58" orientation="portrait" cellComments="asDisplayed" r:id="rId1"/>
  <headerFooter alignWithMargins="0">
    <oddFooter>&amp;RPage &amp;P of &amp;[Pages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216"/>
  <sheetViews>
    <sheetView showGridLines="0" zoomScale="91" zoomScaleNormal="91" workbookViewId="0">
      <pane ySplit="3" topLeftCell="A189" activePane="bottomLeft" state="frozen"/>
      <selection activeCell="B7" sqref="B7"/>
      <selection pane="bottomLeft" activeCell="F66" sqref="F66"/>
    </sheetView>
  </sheetViews>
  <sheetFormatPr defaultColWidth="9.42578125" defaultRowHeight="12.75" x14ac:dyDescent="0.2"/>
  <cols>
    <col min="1" max="1" width="11.5703125" style="8" customWidth="1"/>
    <col min="2" max="2" width="22.42578125" style="8" customWidth="1"/>
    <col min="3" max="3" width="15" style="8" customWidth="1"/>
    <col min="4" max="4" width="5.42578125" style="8" customWidth="1"/>
    <col min="5" max="5" width="6.5703125" style="7" customWidth="1"/>
    <col min="6" max="6" width="11.5703125" style="16" customWidth="1"/>
    <col min="7" max="7" width="6" style="16" customWidth="1"/>
    <col min="8" max="8" width="24.5703125" style="8" bestFit="1" customWidth="1"/>
    <col min="9" max="9" width="7" style="8" customWidth="1"/>
    <col min="10" max="10" width="24" style="8" customWidth="1"/>
    <col min="11" max="11" width="3.5703125" style="8" bestFit="1" customWidth="1"/>
    <col min="12" max="12" width="14" style="8" bestFit="1" customWidth="1"/>
    <col min="13" max="13" width="29.42578125" style="8" customWidth="1"/>
    <col min="14" max="14" width="16.42578125" style="15" customWidth="1"/>
    <col min="15" max="15" width="9.42578125" style="7"/>
    <col min="16" max="16384" width="9.42578125" style="8"/>
  </cols>
  <sheetData>
    <row r="1" spans="1:15" s="2" customFormat="1" x14ac:dyDescent="0.2">
      <c r="A1" s="44" t="str">
        <f>"Pengiriman ( Jumat ) Tgl. "&amp;TEXT(MID(Kamis!A1,FIND(".",Kamis!A1,1)+2,17)+1,"dd mmmm yyyy")</f>
        <v>Pengiriman ( Jumat ) Tgl. 27 July 2018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6"/>
      <c r="O1" s="1"/>
    </row>
    <row r="2" spans="1:15" s="2" customFormat="1" ht="13.5" thickBot="1" x14ac:dyDescent="0.25">
      <c r="G2" s="3"/>
      <c r="N2" s="6"/>
      <c r="O2" s="1"/>
    </row>
    <row r="3" spans="1:15" s="2" customFormat="1" ht="13.5" thickBot="1" x14ac:dyDescent="0.25">
      <c r="A3" s="4" t="s">
        <v>9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19"/>
      <c r="H3" s="20" t="s">
        <v>5</v>
      </c>
      <c r="I3" s="19"/>
      <c r="J3" s="20" t="s">
        <v>6</v>
      </c>
      <c r="K3" s="5" t="s">
        <v>7</v>
      </c>
      <c r="L3" s="5" t="s">
        <v>10</v>
      </c>
      <c r="M3" s="5" t="s">
        <v>8</v>
      </c>
      <c r="N3" s="5" t="s">
        <v>11</v>
      </c>
      <c r="O3" s="1"/>
    </row>
    <row r="4" spans="1:15" x14ac:dyDescent="0.2">
      <c r="A4" s="10"/>
      <c r="B4" s="11" t="s">
        <v>12</v>
      </c>
      <c r="C4" s="11" t="s">
        <v>29</v>
      </c>
      <c r="D4" s="11">
        <v>40</v>
      </c>
      <c r="E4" s="7" t="s">
        <v>199</v>
      </c>
      <c r="F4" s="13">
        <v>43308</v>
      </c>
      <c r="G4" s="13" t="s">
        <v>111</v>
      </c>
      <c r="H4" s="11" t="s">
        <v>184</v>
      </c>
      <c r="I4" s="11" t="s">
        <v>24</v>
      </c>
      <c r="J4" s="11" t="s">
        <v>25</v>
      </c>
      <c r="K4" s="11">
        <v>1</v>
      </c>
      <c r="L4" s="11" t="s">
        <v>194</v>
      </c>
      <c r="M4" s="11"/>
      <c r="N4" s="14" t="s">
        <v>30</v>
      </c>
    </row>
    <row r="5" spans="1:15" x14ac:dyDescent="0.2">
      <c r="A5" s="10"/>
      <c r="B5" s="11" t="s">
        <v>92</v>
      </c>
      <c r="C5" s="11" t="s">
        <v>109</v>
      </c>
      <c r="D5" s="11">
        <v>270</v>
      </c>
      <c r="E5" s="7" t="s">
        <v>199</v>
      </c>
      <c r="F5" s="13">
        <v>43308</v>
      </c>
      <c r="G5" s="13" t="s">
        <v>111</v>
      </c>
      <c r="H5" s="11" t="s">
        <v>184</v>
      </c>
      <c r="I5" s="11" t="s">
        <v>24</v>
      </c>
      <c r="J5" s="11" t="s">
        <v>25</v>
      </c>
      <c r="K5" s="11">
        <v>1</v>
      </c>
      <c r="L5" s="11" t="s">
        <v>194</v>
      </c>
      <c r="M5" s="11"/>
      <c r="N5" s="14" t="s">
        <v>110</v>
      </c>
    </row>
    <row r="6" spans="1:15" x14ac:dyDescent="0.2">
      <c r="A6" s="10"/>
      <c r="B6" s="11" t="s">
        <v>92</v>
      </c>
      <c r="C6" s="11" t="s">
        <v>96</v>
      </c>
      <c r="D6" s="11">
        <v>300</v>
      </c>
      <c r="E6" s="7" t="s">
        <v>199</v>
      </c>
      <c r="F6" s="13">
        <v>43308</v>
      </c>
      <c r="G6" s="13" t="s">
        <v>111</v>
      </c>
      <c r="H6" s="11" t="s">
        <v>184</v>
      </c>
      <c r="I6" s="11" t="s">
        <v>24</v>
      </c>
      <c r="J6" s="11" t="s">
        <v>25</v>
      </c>
      <c r="K6" s="11">
        <v>1</v>
      </c>
      <c r="L6" s="11" t="s">
        <v>194</v>
      </c>
      <c r="M6" s="11"/>
      <c r="N6" s="14" t="s">
        <v>97</v>
      </c>
    </row>
    <row r="7" spans="1:15" x14ac:dyDescent="0.2">
      <c r="A7" s="10"/>
      <c r="B7" s="11" t="s">
        <v>12</v>
      </c>
      <c r="C7" s="11" t="s">
        <v>38</v>
      </c>
      <c r="D7" s="11">
        <v>374</v>
      </c>
      <c r="E7" s="7" t="s">
        <v>199</v>
      </c>
      <c r="F7" s="13">
        <v>43308</v>
      </c>
      <c r="G7" s="13" t="s">
        <v>111</v>
      </c>
      <c r="H7" s="11" t="s">
        <v>184</v>
      </c>
      <c r="I7" s="11" t="s">
        <v>16</v>
      </c>
      <c r="J7" s="11" t="s">
        <v>17</v>
      </c>
      <c r="K7" s="11">
        <v>1</v>
      </c>
      <c r="L7" s="11" t="s">
        <v>194</v>
      </c>
      <c r="M7" s="11"/>
      <c r="N7" s="14" t="s">
        <v>39</v>
      </c>
    </row>
    <row r="8" spans="1:15" x14ac:dyDescent="0.2">
      <c r="A8" s="10"/>
      <c r="B8" s="11" t="s">
        <v>12</v>
      </c>
      <c r="C8" s="11" t="s">
        <v>21</v>
      </c>
      <c r="D8" s="11">
        <v>60</v>
      </c>
      <c r="E8" s="7" t="s">
        <v>199</v>
      </c>
      <c r="F8" s="13">
        <v>43308</v>
      </c>
      <c r="G8" s="13" t="s">
        <v>55</v>
      </c>
      <c r="H8" s="11" t="s">
        <v>170</v>
      </c>
      <c r="I8" s="11" t="s">
        <v>24</v>
      </c>
      <c r="J8" s="11" t="s">
        <v>25</v>
      </c>
      <c r="K8" s="11">
        <v>2</v>
      </c>
      <c r="L8" s="11" t="s">
        <v>56</v>
      </c>
      <c r="M8" s="11"/>
      <c r="N8" s="14" t="s">
        <v>26</v>
      </c>
    </row>
    <row r="9" spans="1:15" x14ac:dyDescent="0.2">
      <c r="A9" s="10"/>
      <c r="B9" s="11" t="s">
        <v>12</v>
      </c>
      <c r="C9" s="11" t="s">
        <v>27</v>
      </c>
      <c r="D9" s="11">
        <v>6</v>
      </c>
      <c r="E9" s="7" t="s">
        <v>199</v>
      </c>
      <c r="F9" s="13">
        <v>43308</v>
      </c>
      <c r="G9" s="13" t="s">
        <v>55</v>
      </c>
      <c r="H9" s="11" t="s">
        <v>170</v>
      </c>
      <c r="I9" s="11" t="s">
        <v>24</v>
      </c>
      <c r="J9" s="11" t="s">
        <v>25</v>
      </c>
      <c r="K9" s="11">
        <v>2</v>
      </c>
      <c r="L9" s="11" t="s">
        <v>56</v>
      </c>
      <c r="M9" s="11"/>
      <c r="N9" s="14" t="s">
        <v>28</v>
      </c>
    </row>
    <row r="10" spans="1:15" x14ac:dyDescent="0.2">
      <c r="A10" s="10"/>
      <c r="B10" s="11" t="s">
        <v>92</v>
      </c>
      <c r="C10" s="11" t="s">
        <v>109</v>
      </c>
      <c r="D10" s="11">
        <v>30</v>
      </c>
      <c r="E10" s="7" t="s">
        <v>199</v>
      </c>
      <c r="F10" s="13">
        <v>43308</v>
      </c>
      <c r="G10" s="13" t="s">
        <v>55</v>
      </c>
      <c r="H10" s="11" t="s">
        <v>170</v>
      </c>
      <c r="I10" s="11" t="s">
        <v>24</v>
      </c>
      <c r="J10" s="11" t="s">
        <v>25</v>
      </c>
      <c r="K10" s="11">
        <v>2</v>
      </c>
      <c r="L10" s="11" t="s">
        <v>56</v>
      </c>
      <c r="M10" s="11"/>
      <c r="N10" s="14" t="s">
        <v>110</v>
      </c>
    </row>
    <row r="11" spans="1:15" x14ac:dyDescent="0.2">
      <c r="A11" s="10"/>
      <c r="B11" s="11" t="s">
        <v>92</v>
      </c>
      <c r="C11" s="11" t="s">
        <v>96</v>
      </c>
      <c r="D11" s="11">
        <v>180</v>
      </c>
      <c r="E11" s="7" t="s">
        <v>199</v>
      </c>
      <c r="F11" s="13">
        <v>43308</v>
      </c>
      <c r="G11" s="13" t="s">
        <v>55</v>
      </c>
      <c r="H11" s="11" t="s">
        <v>170</v>
      </c>
      <c r="I11" s="11" t="s">
        <v>24</v>
      </c>
      <c r="J11" s="11" t="s">
        <v>25</v>
      </c>
      <c r="K11" s="11">
        <v>2</v>
      </c>
      <c r="L11" s="11" t="s">
        <v>56</v>
      </c>
      <c r="M11" s="11"/>
      <c r="N11" s="14" t="s">
        <v>97</v>
      </c>
    </row>
    <row r="12" spans="1:15" x14ac:dyDescent="0.2">
      <c r="A12" s="10"/>
      <c r="B12" s="11" t="s">
        <v>33</v>
      </c>
      <c r="C12" s="11" t="s">
        <v>34</v>
      </c>
      <c r="D12" s="11">
        <v>40</v>
      </c>
      <c r="E12" s="7" t="s">
        <v>199</v>
      </c>
      <c r="F12" s="13">
        <v>43308</v>
      </c>
      <c r="G12" s="13" t="s">
        <v>55</v>
      </c>
      <c r="H12" s="11" t="s">
        <v>170</v>
      </c>
      <c r="I12" s="11" t="s">
        <v>24</v>
      </c>
      <c r="J12" s="11" t="s">
        <v>25</v>
      </c>
      <c r="K12" s="11">
        <v>2</v>
      </c>
      <c r="L12" s="11" t="s">
        <v>56</v>
      </c>
      <c r="M12" s="11"/>
      <c r="N12" s="14" t="s">
        <v>35</v>
      </c>
    </row>
    <row r="13" spans="1:15" x14ac:dyDescent="0.2">
      <c r="A13" s="10"/>
      <c r="B13" s="11" t="s">
        <v>33</v>
      </c>
      <c r="C13" s="11" t="s">
        <v>36</v>
      </c>
      <c r="D13" s="11">
        <v>15</v>
      </c>
      <c r="E13" s="7" t="s">
        <v>199</v>
      </c>
      <c r="F13" s="13">
        <v>43308</v>
      </c>
      <c r="G13" s="13" t="s">
        <v>55</v>
      </c>
      <c r="H13" s="11" t="s">
        <v>170</v>
      </c>
      <c r="I13" s="11" t="s">
        <v>24</v>
      </c>
      <c r="J13" s="11" t="s">
        <v>25</v>
      </c>
      <c r="K13" s="11">
        <v>2</v>
      </c>
      <c r="L13" s="11" t="s">
        <v>56</v>
      </c>
      <c r="M13" s="11"/>
      <c r="N13" s="14" t="s">
        <v>37</v>
      </c>
    </row>
    <row r="14" spans="1:15" x14ac:dyDescent="0.2">
      <c r="A14" s="10"/>
      <c r="B14" s="11" t="s">
        <v>12</v>
      </c>
      <c r="C14" s="11" t="s">
        <v>19</v>
      </c>
      <c r="D14" s="11">
        <v>300</v>
      </c>
      <c r="E14" s="7" t="s">
        <v>199</v>
      </c>
      <c r="F14" s="13">
        <v>43308</v>
      </c>
      <c r="G14" s="13" t="s">
        <v>55</v>
      </c>
      <c r="H14" s="11" t="s">
        <v>170</v>
      </c>
      <c r="I14" s="11" t="s">
        <v>16</v>
      </c>
      <c r="J14" s="11" t="s">
        <v>17</v>
      </c>
      <c r="K14" s="11">
        <v>2</v>
      </c>
      <c r="L14" s="11" t="s">
        <v>56</v>
      </c>
      <c r="M14" s="11"/>
      <c r="N14" s="14" t="s">
        <v>20</v>
      </c>
    </row>
    <row r="15" spans="1:15" x14ac:dyDescent="0.2">
      <c r="A15" s="10"/>
      <c r="B15" s="11" t="s">
        <v>12</v>
      </c>
      <c r="C15" s="11" t="s">
        <v>40</v>
      </c>
      <c r="D15" s="11">
        <v>33</v>
      </c>
      <c r="E15" s="7" t="s">
        <v>199</v>
      </c>
      <c r="F15" s="13">
        <v>43308</v>
      </c>
      <c r="G15" s="13" t="s">
        <v>55</v>
      </c>
      <c r="H15" s="11" t="s">
        <v>170</v>
      </c>
      <c r="I15" s="11" t="s">
        <v>16</v>
      </c>
      <c r="J15" s="11" t="s">
        <v>17</v>
      </c>
      <c r="K15" s="11">
        <v>2</v>
      </c>
      <c r="L15" s="11" t="s">
        <v>56</v>
      </c>
      <c r="M15" s="11"/>
      <c r="N15" s="14" t="s">
        <v>41</v>
      </c>
    </row>
    <row r="16" spans="1:15" x14ac:dyDescent="0.2">
      <c r="A16" s="10"/>
      <c r="B16" s="11" t="s">
        <v>12</v>
      </c>
      <c r="C16" s="11" t="s">
        <v>80</v>
      </c>
      <c r="D16" s="11">
        <v>30</v>
      </c>
      <c r="E16" s="7" t="s">
        <v>199</v>
      </c>
      <c r="F16" s="13">
        <v>43308</v>
      </c>
      <c r="G16" s="13" t="s">
        <v>55</v>
      </c>
      <c r="H16" s="11" t="s">
        <v>170</v>
      </c>
      <c r="I16" s="11" t="s">
        <v>16</v>
      </c>
      <c r="J16" s="11" t="s">
        <v>17</v>
      </c>
      <c r="K16" s="11">
        <v>2</v>
      </c>
      <c r="L16" s="11" t="s">
        <v>56</v>
      </c>
      <c r="M16" s="11"/>
      <c r="N16" s="14" t="s">
        <v>82</v>
      </c>
    </row>
    <row r="17" spans="1:14" x14ac:dyDescent="0.2">
      <c r="A17" s="10"/>
      <c r="B17" s="11" t="s">
        <v>12</v>
      </c>
      <c r="C17" s="11" t="s">
        <v>21</v>
      </c>
      <c r="D17" s="11">
        <v>42</v>
      </c>
      <c r="E17" s="7" t="s">
        <v>199</v>
      </c>
      <c r="F17" s="13">
        <v>43308</v>
      </c>
      <c r="G17" s="13" t="s">
        <v>59</v>
      </c>
      <c r="H17" s="11" t="s">
        <v>171</v>
      </c>
      <c r="I17" s="11" t="s">
        <v>24</v>
      </c>
      <c r="J17" s="11" t="s">
        <v>25</v>
      </c>
      <c r="K17" s="11">
        <v>3</v>
      </c>
      <c r="L17" s="11" t="s">
        <v>56</v>
      </c>
      <c r="M17" s="11"/>
      <c r="N17" s="14" t="s">
        <v>26</v>
      </c>
    </row>
    <row r="18" spans="1:14" x14ac:dyDescent="0.2">
      <c r="A18" s="10"/>
      <c r="B18" s="11" t="s">
        <v>12</v>
      </c>
      <c r="C18" s="11" t="s">
        <v>27</v>
      </c>
      <c r="D18" s="11">
        <v>81</v>
      </c>
      <c r="E18" s="7" t="s">
        <v>199</v>
      </c>
      <c r="F18" s="13">
        <v>43308</v>
      </c>
      <c r="G18" s="13" t="s">
        <v>59</v>
      </c>
      <c r="H18" s="11" t="s">
        <v>171</v>
      </c>
      <c r="I18" s="11" t="s">
        <v>24</v>
      </c>
      <c r="J18" s="11" t="s">
        <v>25</v>
      </c>
      <c r="K18" s="11">
        <v>3</v>
      </c>
      <c r="L18" s="11" t="s">
        <v>56</v>
      </c>
      <c r="M18" s="11"/>
      <c r="N18" s="14" t="s">
        <v>28</v>
      </c>
    </row>
    <row r="19" spans="1:14" x14ac:dyDescent="0.2">
      <c r="A19" s="10"/>
      <c r="B19" s="11" t="s">
        <v>12</v>
      </c>
      <c r="C19" s="11" t="s">
        <v>29</v>
      </c>
      <c r="D19" s="11">
        <v>9</v>
      </c>
      <c r="E19" s="7" t="s">
        <v>199</v>
      </c>
      <c r="F19" s="13">
        <v>43308</v>
      </c>
      <c r="G19" s="13" t="s">
        <v>59</v>
      </c>
      <c r="H19" s="11" t="s">
        <v>171</v>
      </c>
      <c r="I19" s="11" t="s">
        <v>24</v>
      </c>
      <c r="J19" s="11" t="s">
        <v>25</v>
      </c>
      <c r="K19" s="11">
        <v>3</v>
      </c>
      <c r="L19" s="11" t="s">
        <v>56</v>
      </c>
      <c r="M19" s="11"/>
      <c r="N19" s="14" t="s">
        <v>30</v>
      </c>
    </row>
    <row r="20" spans="1:14" x14ac:dyDescent="0.2">
      <c r="A20" s="10"/>
      <c r="B20" s="11" t="s">
        <v>33</v>
      </c>
      <c r="C20" s="11" t="s">
        <v>34</v>
      </c>
      <c r="D20" s="11">
        <v>77</v>
      </c>
      <c r="E20" s="7" t="s">
        <v>199</v>
      </c>
      <c r="F20" s="13">
        <v>43308</v>
      </c>
      <c r="G20" s="13" t="s">
        <v>59</v>
      </c>
      <c r="H20" s="11" t="s">
        <v>171</v>
      </c>
      <c r="I20" s="11" t="s">
        <v>24</v>
      </c>
      <c r="J20" s="11" t="s">
        <v>25</v>
      </c>
      <c r="K20" s="11">
        <v>3</v>
      </c>
      <c r="L20" s="11" t="s">
        <v>56</v>
      </c>
      <c r="M20" s="11"/>
      <c r="N20" s="14" t="s">
        <v>35</v>
      </c>
    </row>
    <row r="21" spans="1:14" x14ac:dyDescent="0.2">
      <c r="A21" s="10"/>
      <c r="B21" s="11" t="s">
        <v>12</v>
      </c>
      <c r="C21" s="11" t="s">
        <v>44</v>
      </c>
      <c r="D21" s="11">
        <v>1</v>
      </c>
      <c r="E21" s="7" t="s">
        <v>199</v>
      </c>
      <c r="F21" s="13">
        <v>43308</v>
      </c>
      <c r="G21" s="13" t="s">
        <v>59</v>
      </c>
      <c r="H21" s="11" t="s">
        <v>171</v>
      </c>
      <c r="I21" s="11" t="s">
        <v>16</v>
      </c>
      <c r="J21" s="11" t="s">
        <v>17</v>
      </c>
      <c r="K21" s="11">
        <v>3</v>
      </c>
      <c r="L21" s="11" t="s">
        <v>56</v>
      </c>
      <c r="M21" s="11"/>
      <c r="N21" s="14" t="s">
        <v>45</v>
      </c>
    </row>
    <row r="22" spans="1:14" x14ac:dyDescent="0.2">
      <c r="A22" s="10"/>
      <c r="B22" s="11" t="s">
        <v>12</v>
      </c>
      <c r="C22" s="11" t="s">
        <v>38</v>
      </c>
      <c r="D22" s="11">
        <v>24</v>
      </c>
      <c r="E22" s="7" t="s">
        <v>199</v>
      </c>
      <c r="F22" s="13">
        <v>43308</v>
      </c>
      <c r="G22" s="13" t="s">
        <v>59</v>
      </c>
      <c r="H22" s="11" t="s">
        <v>171</v>
      </c>
      <c r="I22" s="11" t="s">
        <v>16</v>
      </c>
      <c r="J22" s="11" t="s">
        <v>17</v>
      </c>
      <c r="K22" s="11">
        <v>3</v>
      </c>
      <c r="L22" s="11" t="s">
        <v>56</v>
      </c>
      <c r="M22" s="11"/>
      <c r="N22" s="14" t="s">
        <v>39</v>
      </c>
    </row>
    <row r="23" spans="1:14" x14ac:dyDescent="0.2">
      <c r="A23" s="10"/>
      <c r="B23" s="11" t="s">
        <v>12</v>
      </c>
      <c r="C23" s="11" t="s">
        <v>19</v>
      </c>
      <c r="D23" s="11">
        <v>225</v>
      </c>
      <c r="E23" s="7" t="s">
        <v>199</v>
      </c>
      <c r="F23" s="13">
        <v>43308</v>
      </c>
      <c r="G23" s="13" t="s">
        <v>59</v>
      </c>
      <c r="H23" s="11" t="s">
        <v>171</v>
      </c>
      <c r="I23" s="11" t="s">
        <v>16</v>
      </c>
      <c r="J23" s="11" t="s">
        <v>17</v>
      </c>
      <c r="K23" s="11">
        <v>3</v>
      </c>
      <c r="L23" s="11" t="s">
        <v>56</v>
      </c>
      <c r="M23" s="11"/>
      <c r="N23" s="14" t="s">
        <v>20</v>
      </c>
    </row>
    <row r="24" spans="1:14" x14ac:dyDescent="0.2">
      <c r="A24" s="10"/>
      <c r="B24" s="11" t="s">
        <v>12</v>
      </c>
      <c r="C24" s="11" t="s">
        <v>40</v>
      </c>
      <c r="D24" s="11">
        <v>35</v>
      </c>
      <c r="E24" s="7" t="s">
        <v>199</v>
      </c>
      <c r="F24" s="13">
        <v>43308</v>
      </c>
      <c r="G24" s="13" t="s">
        <v>59</v>
      </c>
      <c r="H24" s="11" t="s">
        <v>171</v>
      </c>
      <c r="I24" s="11" t="s">
        <v>16</v>
      </c>
      <c r="J24" s="11" t="s">
        <v>17</v>
      </c>
      <c r="K24" s="11">
        <v>3</v>
      </c>
      <c r="L24" s="11" t="s">
        <v>56</v>
      </c>
      <c r="M24" s="11"/>
      <c r="N24" s="14" t="s">
        <v>41</v>
      </c>
    </row>
    <row r="25" spans="1:14" x14ac:dyDescent="0.2">
      <c r="A25" s="10"/>
      <c r="B25" s="11" t="s">
        <v>12</v>
      </c>
      <c r="C25" s="11" t="s">
        <v>57</v>
      </c>
      <c r="D25" s="11">
        <v>30</v>
      </c>
      <c r="E25" s="7" t="s">
        <v>199</v>
      </c>
      <c r="F25" s="13">
        <v>43308</v>
      </c>
      <c r="G25" s="13" t="s">
        <v>59</v>
      </c>
      <c r="H25" s="11" t="s">
        <v>171</v>
      </c>
      <c r="I25" s="11" t="s">
        <v>16</v>
      </c>
      <c r="J25" s="11" t="s">
        <v>17</v>
      </c>
      <c r="K25" s="11">
        <v>3</v>
      </c>
      <c r="L25" s="11" t="s">
        <v>56</v>
      </c>
      <c r="M25" s="11"/>
      <c r="N25" s="14" t="s">
        <v>58</v>
      </c>
    </row>
    <row r="26" spans="1:14" x14ac:dyDescent="0.2">
      <c r="A26" s="10"/>
      <c r="B26" s="11" t="s">
        <v>12</v>
      </c>
      <c r="C26" s="11" t="s">
        <v>80</v>
      </c>
      <c r="D26" s="11">
        <v>10</v>
      </c>
      <c r="E26" s="7" t="s">
        <v>199</v>
      </c>
      <c r="F26" s="13">
        <v>43308</v>
      </c>
      <c r="G26" s="13" t="s">
        <v>59</v>
      </c>
      <c r="H26" s="11" t="s">
        <v>171</v>
      </c>
      <c r="I26" s="11" t="s">
        <v>16</v>
      </c>
      <c r="J26" s="11" t="s">
        <v>17</v>
      </c>
      <c r="K26" s="11">
        <v>3</v>
      </c>
      <c r="L26" s="11" t="s">
        <v>56</v>
      </c>
      <c r="M26" s="11"/>
      <c r="N26" s="14" t="s">
        <v>82</v>
      </c>
    </row>
    <row r="27" spans="1:14" x14ac:dyDescent="0.2">
      <c r="A27" s="10"/>
      <c r="B27" s="11" t="s">
        <v>12</v>
      </c>
      <c r="C27" s="11" t="s">
        <v>42</v>
      </c>
      <c r="D27" s="11">
        <v>60</v>
      </c>
      <c r="E27" s="7" t="s">
        <v>199</v>
      </c>
      <c r="F27" s="13">
        <v>43308</v>
      </c>
      <c r="G27" s="13" t="s">
        <v>59</v>
      </c>
      <c r="H27" s="11" t="s">
        <v>171</v>
      </c>
      <c r="I27" s="11" t="s">
        <v>16</v>
      </c>
      <c r="J27" s="11" t="s">
        <v>17</v>
      </c>
      <c r="K27" s="11">
        <v>3</v>
      </c>
      <c r="L27" s="11" t="s">
        <v>56</v>
      </c>
      <c r="M27" s="11"/>
      <c r="N27" s="14" t="s">
        <v>43</v>
      </c>
    </row>
    <row r="28" spans="1:14" x14ac:dyDescent="0.2">
      <c r="A28" s="10"/>
      <c r="B28" s="11" t="s">
        <v>12</v>
      </c>
      <c r="C28" s="11" t="s">
        <v>21</v>
      </c>
      <c r="D28" s="11">
        <v>30</v>
      </c>
      <c r="E28" s="7" t="s">
        <v>199</v>
      </c>
      <c r="F28" s="13">
        <v>43308</v>
      </c>
      <c r="G28" s="13" t="s">
        <v>60</v>
      </c>
      <c r="H28" s="11" t="s">
        <v>159</v>
      </c>
      <c r="I28" s="11" t="s">
        <v>24</v>
      </c>
      <c r="J28" s="11" t="s">
        <v>25</v>
      </c>
      <c r="K28" s="11">
        <v>4</v>
      </c>
      <c r="L28" s="11" t="s">
        <v>56</v>
      </c>
      <c r="M28" s="11"/>
      <c r="N28" s="14" t="s">
        <v>26</v>
      </c>
    </row>
    <row r="29" spans="1:14" x14ac:dyDescent="0.2">
      <c r="A29" s="10"/>
      <c r="B29" s="11" t="s">
        <v>12</v>
      </c>
      <c r="C29" s="11" t="s">
        <v>27</v>
      </c>
      <c r="D29" s="11">
        <v>150</v>
      </c>
      <c r="E29" s="7" t="s">
        <v>199</v>
      </c>
      <c r="F29" s="13">
        <v>43308</v>
      </c>
      <c r="G29" s="13" t="s">
        <v>60</v>
      </c>
      <c r="H29" s="11" t="s">
        <v>159</v>
      </c>
      <c r="I29" s="11" t="s">
        <v>24</v>
      </c>
      <c r="J29" s="11" t="s">
        <v>25</v>
      </c>
      <c r="K29" s="11">
        <v>4</v>
      </c>
      <c r="L29" s="11" t="s">
        <v>56</v>
      </c>
      <c r="M29" s="11"/>
      <c r="N29" s="14" t="s">
        <v>28</v>
      </c>
    </row>
    <row r="30" spans="1:14" x14ac:dyDescent="0.2">
      <c r="A30" s="10"/>
      <c r="B30" s="11" t="s">
        <v>92</v>
      </c>
      <c r="C30" s="11" t="s">
        <v>109</v>
      </c>
      <c r="D30" s="11">
        <v>6</v>
      </c>
      <c r="E30" s="7" t="s">
        <v>199</v>
      </c>
      <c r="F30" s="13">
        <v>43308</v>
      </c>
      <c r="G30" s="13" t="s">
        <v>60</v>
      </c>
      <c r="H30" s="11" t="s">
        <v>159</v>
      </c>
      <c r="I30" s="11" t="s">
        <v>24</v>
      </c>
      <c r="J30" s="11" t="s">
        <v>25</v>
      </c>
      <c r="K30" s="11">
        <v>4</v>
      </c>
      <c r="L30" s="11" t="s">
        <v>56</v>
      </c>
      <c r="M30" s="11"/>
      <c r="N30" s="14" t="s">
        <v>110</v>
      </c>
    </row>
    <row r="31" spans="1:14" x14ac:dyDescent="0.2">
      <c r="A31" s="10"/>
      <c r="B31" s="11" t="s">
        <v>33</v>
      </c>
      <c r="C31" s="11" t="s">
        <v>34</v>
      </c>
      <c r="D31" s="11">
        <v>25</v>
      </c>
      <c r="E31" s="7" t="s">
        <v>199</v>
      </c>
      <c r="F31" s="13">
        <v>43308</v>
      </c>
      <c r="G31" s="13" t="s">
        <v>60</v>
      </c>
      <c r="H31" s="11" t="s">
        <v>159</v>
      </c>
      <c r="I31" s="11" t="s">
        <v>24</v>
      </c>
      <c r="J31" s="11" t="s">
        <v>25</v>
      </c>
      <c r="K31" s="11">
        <v>4</v>
      </c>
      <c r="L31" s="11" t="s">
        <v>56</v>
      </c>
      <c r="M31" s="11"/>
      <c r="N31" s="14" t="s">
        <v>35</v>
      </c>
    </row>
    <row r="32" spans="1:14" x14ac:dyDescent="0.2">
      <c r="A32" s="10"/>
      <c r="B32" s="11" t="s">
        <v>33</v>
      </c>
      <c r="C32" s="11" t="s">
        <v>36</v>
      </c>
      <c r="D32" s="11">
        <v>20</v>
      </c>
      <c r="E32" s="7" t="s">
        <v>199</v>
      </c>
      <c r="F32" s="13">
        <v>43308</v>
      </c>
      <c r="G32" s="13" t="s">
        <v>60</v>
      </c>
      <c r="H32" s="11" t="s">
        <v>159</v>
      </c>
      <c r="I32" s="11" t="s">
        <v>24</v>
      </c>
      <c r="J32" s="11" t="s">
        <v>25</v>
      </c>
      <c r="K32" s="11">
        <v>4</v>
      </c>
      <c r="L32" s="11" t="s">
        <v>56</v>
      </c>
      <c r="M32" s="11"/>
      <c r="N32" s="14" t="s">
        <v>37</v>
      </c>
    </row>
    <row r="33" spans="1:14" x14ac:dyDescent="0.2">
      <c r="A33" s="10"/>
      <c r="B33" s="11" t="s">
        <v>12</v>
      </c>
      <c r="C33" s="11" t="s">
        <v>44</v>
      </c>
      <c r="D33" s="11">
        <v>30</v>
      </c>
      <c r="E33" s="7" t="s">
        <v>199</v>
      </c>
      <c r="F33" s="13">
        <v>43308</v>
      </c>
      <c r="G33" s="13" t="s">
        <v>60</v>
      </c>
      <c r="H33" s="11" t="s">
        <v>159</v>
      </c>
      <c r="I33" s="11" t="s">
        <v>16</v>
      </c>
      <c r="J33" s="11" t="s">
        <v>17</v>
      </c>
      <c r="K33" s="11">
        <v>4</v>
      </c>
      <c r="L33" s="11" t="s">
        <v>56</v>
      </c>
      <c r="M33" s="11"/>
      <c r="N33" s="14" t="s">
        <v>45</v>
      </c>
    </row>
    <row r="34" spans="1:14" x14ac:dyDescent="0.2">
      <c r="A34" s="10"/>
      <c r="B34" s="11" t="s">
        <v>12</v>
      </c>
      <c r="C34" s="11" t="s">
        <v>47</v>
      </c>
      <c r="D34" s="11">
        <v>6</v>
      </c>
      <c r="E34" s="7" t="s">
        <v>199</v>
      </c>
      <c r="F34" s="13">
        <v>43308</v>
      </c>
      <c r="G34" s="13" t="s">
        <v>60</v>
      </c>
      <c r="H34" s="11" t="s">
        <v>159</v>
      </c>
      <c r="I34" s="11" t="s">
        <v>16</v>
      </c>
      <c r="J34" s="11" t="s">
        <v>17</v>
      </c>
      <c r="K34" s="11">
        <v>4</v>
      </c>
      <c r="L34" s="11" t="s">
        <v>56</v>
      </c>
      <c r="M34" s="11"/>
      <c r="N34" s="14" t="s">
        <v>48</v>
      </c>
    </row>
    <row r="35" spans="1:14" x14ac:dyDescent="0.2">
      <c r="A35" s="10"/>
      <c r="B35" s="11" t="s">
        <v>12</v>
      </c>
      <c r="C35" s="11" t="s">
        <v>38</v>
      </c>
      <c r="D35" s="11">
        <v>72</v>
      </c>
      <c r="E35" s="7" t="s">
        <v>199</v>
      </c>
      <c r="F35" s="13">
        <v>43308</v>
      </c>
      <c r="G35" s="13" t="s">
        <v>60</v>
      </c>
      <c r="H35" s="11" t="s">
        <v>159</v>
      </c>
      <c r="I35" s="11" t="s">
        <v>16</v>
      </c>
      <c r="J35" s="11" t="s">
        <v>17</v>
      </c>
      <c r="K35" s="11">
        <v>4</v>
      </c>
      <c r="L35" s="11" t="s">
        <v>56</v>
      </c>
      <c r="M35" s="11"/>
      <c r="N35" s="14" t="s">
        <v>39</v>
      </c>
    </row>
    <row r="36" spans="1:14" x14ac:dyDescent="0.2">
      <c r="A36" s="10"/>
      <c r="B36" s="11" t="s">
        <v>12</v>
      </c>
      <c r="C36" s="11" t="s">
        <v>19</v>
      </c>
      <c r="D36" s="11">
        <v>70</v>
      </c>
      <c r="E36" s="7" t="s">
        <v>199</v>
      </c>
      <c r="F36" s="13">
        <v>43308</v>
      </c>
      <c r="G36" s="13" t="s">
        <v>60</v>
      </c>
      <c r="H36" s="11" t="s">
        <v>159</v>
      </c>
      <c r="I36" s="11" t="s">
        <v>16</v>
      </c>
      <c r="J36" s="11" t="s">
        <v>17</v>
      </c>
      <c r="K36" s="11">
        <v>4</v>
      </c>
      <c r="L36" s="11" t="s">
        <v>56</v>
      </c>
      <c r="M36" s="11"/>
      <c r="N36" s="14" t="s">
        <v>20</v>
      </c>
    </row>
    <row r="37" spans="1:14" x14ac:dyDescent="0.2">
      <c r="A37" s="10"/>
      <c r="B37" s="11" t="s">
        <v>12</v>
      </c>
      <c r="C37" s="11" t="s">
        <v>40</v>
      </c>
      <c r="D37" s="11">
        <v>90</v>
      </c>
      <c r="E37" s="7" t="s">
        <v>199</v>
      </c>
      <c r="F37" s="13">
        <v>43308</v>
      </c>
      <c r="G37" s="13" t="s">
        <v>60</v>
      </c>
      <c r="H37" s="11" t="s">
        <v>159</v>
      </c>
      <c r="I37" s="11" t="s">
        <v>16</v>
      </c>
      <c r="J37" s="11" t="s">
        <v>17</v>
      </c>
      <c r="K37" s="11">
        <v>4</v>
      </c>
      <c r="L37" s="11" t="s">
        <v>56</v>
      </c>
      <c r="M37" s="11"/>
      <c r="N37" s="14" t="s">
        <v>41</v>
      </c>
    </row>
    <row r="38" spans="1:14" x14ac:dyDescent="0.2">
      <c r="A38" s="10"/>
      <c r="B38" s="11" t="s">
        <v>12</v>
      </c>
      <c r="C38" s="11" t="s">
        <v>42</v>
      </c>
      <c r="D38" s="11">
        <v>120</v>
      </c>
      <c r="E38" s="7" t="s">
        <v>199</v>
      </c>
      <c r="F38" s="13">
        <v>43308</v>
      </c>
      <c r="G38" s="13" t="s">
        <v>60</v>
      </c>
      <c r="H38" s="11" t="s">
        <v>159</v>
      </c>
      <c r="I38" s="11" t="s">
        <v>16</v>
      </c>
      <c r="J38" s="11" t="s">
        <v>17</v>
      </c>
      <c r="K38" s="11">
        <v>4</v>
      </c>
      <c r="L38" s="11" t="s">
        <v>56</v>
      </c>
      <c r="M38" s="11"/>
      <c r="N38" s="14" t="s">
        <v>43</v>
      </c>
    </row>
    <row r="39" spans="1:14" x14ac:dyDescent="0.2">
      <c r="A39" s="10"/>
      <c r="B39" s="11" t="s">
        <v>12</v>
      </c>
      <c r="C39" s="11" t="s">
        <v>19</v>
      </c>
      <c r="D39" s="11">
        <v>775</v>
      </c>
      <c r="E39" s="7" t="s">
        <v>199</v>
      </c>
      <c r="F39" s="13">
        <v>43308</v>
      </c>
      <c r="G39" s="13" t="s">
        <v>60</v>
      </c>
      <c r="H39" s="11" t="s">
        <v>159</v>
      </c>
      <c r="I39" s="11" t="s">
        <v>16</v>
      </c>
      <c r="J39" s="11" t="s">
        <v>17</v>
      </c>
      <c r="K39" s="11">
        <v>5</v>
      </c>
      <c r="L39" s="11" t="s">
        <v>56</v>
      </c>
      <c r="M39" s="11"/>
      <c r="N39" s="14" t="s">
        <v>20</v>
      </c>
    </row>
    <row r="40" spans="1:14" x14ac:dyDescent="0.2">
      <c r="A40" s="10"/>
      <c r="B40" s="11" t="s">
        <v>12</v>
      </c>
      <c r="C40" s="11" t="s">
        <v>21</v>
      </c>
      <c r="D40" s="11">
        <v>10</v>
      </c>
      <c r="E40" s="7" t="s">
        <v>199</v>
      </c>
      <c r="F40" s="13">
        <v>43308</v>
      </c>
      <c r="G40" s="13" t="s">
        <v>62</v>
      </c>
      <c r="H40" s="11" t="s">
        <v>172</v>
      </c>
      <c r="I40" s="11" t="s">
        <v>24</v>
      </c>
      <c r="J40" s="11" t="s">
        <v>25</v>
      </c>
      <c r="K40" s="11">
        <v>6</v>
      </c>
      <c r="L40" s="11" t="s">
        <v>56</v>
      </c>
      <c r="M40" s="11"/>
      <c r="N40" s="14" t="s">
        <v>26</v>
      </c>
    </row>
    <row r="41" spans="1:14" x14ac:dyDescent="0.2">
      <c r="A41" s="10"/>
      <c r="B41" s="11" t="s">
        <v>12</v>
      </c>
      <c r="C41" s="11" t="s">
        <v>27</v>
      </c>
      <c r="D41" s="11">
        <v>20</v>
      </c>
      <c r="E41" s="7" t="s">
        <v>199</v>
      </c>
      <c r="F41" s="13">
        <v>43308</v>
      </c>
      <c r="G41" s="13" t="s">
        <v>62</v>
      </c>
      <c r="H41" s="11" t="s">
        <v>172</v>
      </c>
      <c r="I41" s="11" t="s">
        <v>24</v>
      </c>
      <c r="J41" s="11" t="s">
        <v>25</v>
      </c>
      <c r="K41" s="11">
        <v>6</v>
      </c>
      <c r="L41" s="11" t="s">
        <v>56</v>
      </c>
      <c r="M41" s="11"/>
      <c r="N41" s="14" t="s">
        <v>28</v>
      </c>
    </row>
    <row r="42" spans="1:14" x14ac:dyDescent="0.2">
      <c r="A42" s="10"/>
      <c r="B42" s="11" t="s">
        <v>12</v>
      </c>
      <c r="C42" s="11" t="s">
        <v>31</v>
      </c>
      <c r="D42" s="11">
        <v>10</v>
      </c>
      <c r="E42" s="7" t="s">
        <v>199</v>
      </c>
      <c r="F42" s="13">
        <v>43308</v>
      </c>
      <c r="G42" s="13" t="s">
        <v>62</v>
      </c>
      <c r="H42" s="11" t="s">
        <v>172</v>
      </c>
      <c r="I42" s="11" t="s">
        <v>24</v>
      </c>
      <c r="J42" s="11" t="s">
        <v>25</v>
      </c>
      <c r="K42" s="11">
        <v>6</v>
      </c>
      <c r="L42" s="11" t="s">
        <v>56</v>
      </c>
      <c r="M42" s="11"/>
      <c r="N42" s="14" t="s">
        <v>32</v>
      </c>
    </row>
    <row r="43" spans="1:14" x14ac:dyDescent="0.2">
      <c r="A43" s="10"/>
      <c r="B43" s="11" t="s">
        <v>33</v>
      </c>
      <c r="C43" s="11" t="s">
        <v>36</v>
      </c>
      <c r="D43" s="11">
        <v>10</v>
      </c>
      <c r="E43" s="7" t="s">
        <v>199</v>
      </c>
      <c r="F43" s="13">
        <v>43308</v>
      </c>
      <c r="G43" s="13" t="s">
        <v>62</v>
      </c>
      <c r="H43" s="11" t="s">
        <v>172</v>
      </c>
      <c r="I43" s="11" t="s">
        <v>24</v>
      </c>
      <c r="J43" s="11" t="s">
        <v>25</v>
      </c>
      <c r="K43" s="11">
        <v>6</v>
      </c>
      <c r="L43" s="11" t="s">
        <v>56</v>
      </c>
      <c r="M43" s="11"/>
      <c r="N43" s="14" t="s">
        <v>37</v>
      </c>
    </row>
    <row r="44" spans="1:14" x14ac:dyDescent="0.2">
      <c r="A44" s="10"/>
      <c r="B44" s="11" t="s">
        <v>33</v>
      </c>
      <c r="C44" s="11" t="s">
        <v>53</v>
      </c>
      <c r="D44" s="11">
        <v>1</v>
      </c>
      <c r="E44" s="7" t="s">
        <v>199</v>
      </c>
      <c r="F44" s="13">
        <v>43308</v>
      </c>
      <c r="G44" s="13" t="s">
        <v>62</v>
      </c>
      <c r="H44" s="11" t="s">
        <v>172</v>
      </c>
      <c r="I44" s="11" t="s">
        <v>24</v>
      </c>
      <c r="J44" s="11" t="s">
        <v>25</v>
      </c>
      <c r="K44" s="11">
        <v>6</v>
      </c>
      <c r="L44" s="11" t="s">
        <v>56</v>
      </c>
      <c r="M44" s="11"/>
      <c r="N44" s="14" t="s">
        <v>54</v>
      </c>
    </row>
    <row r="45" spans="1:14" x14ac:dyDescent="0.2">
      <c r="A45" s="10"/>
      <c r="B45" s="11" t="s">
        <v>12</v>
      </c>
      <c r="C45" s="11" t="s">
        <v>44</v>
      </c>
      <c r="D45" s="11">
        <v>20</v>
      </c>
      <c r="E45" s="7" t="s">
        <v>199</v>
      </c>
      <c r="F45" s="13">
        <v>43308</v>
      </c>
      <c r="G45" s="13" t="s">
        <v>62</v>
      </c>
      <c r="H45" s="11" t="s">
        <v>172</v>
      </c>
      <c r="I45" s="11" t="s">
        <v>16</v>
      </c>
      <c r="J45" s="11" t="s">
        <v>17</v>
      </c>
      <c r="K45" s="11">
        <v>6</v>
      </c>
      <c r="L45" s="11" t="s">
        <v>56</v>
      </c>
      <c r="M45" s="11"/>
      <c r="N45" s="14" t="s">
        <v>45</v>
      </c>
    </row>
    <row r="46" spans="1:14" x14ac:dyDescent="0.2">
      <c r="A46" s="10"/>
      <c r="B46" s="11" t="s">
        <v>12</v>
      </c>
      <c r="C46" s="11" t="s">
        <v>19</v>
      </c>
      <c r="D46" s="11">
        <v>460</v>
      </c>
      <c r="E46" s="7" t="s">
        <v>199</v>
      </c>
      <c r="F46" s="13">
        <v>43308</v>
      </c>
      <c r="G46" s="13" t="s">
        <v>62</v>
      </c>
      <c r="H46" s="11" t="s">
        <v>172</v>
      </c>
      <c r="I46" s="11" t="s">
        <v>16</v>
      </c>
      <c r="J46" s="11" t="s">
        <v>17</v>
      </c>
      <c r="K46" s="11">
        <v>6</v>
      </c>
      <c r="L46" s="11" t="s">
        <v>56</v>
      </c>
      <c r="M46" s="11"/>
      <c r="N46" s="14" t="s">
        <v>20</v>
      </c>
    </row>
    <row r="47" spans="1:14" x14ac:dyDescent="0.2">
      <c r="A47" s="10"/>
      <c r="B47" s="11" t="s">
        <v>12</v>
      </c>
      <c r="C47" s="11" t="s">
        <v>40</v>
      </c>
      <c r="D47" s="11">
        <v>25</v>
      </c>
      <c r="E47" s="7" t="s">
        <v>199</v>
      </c>
      <c r="F47" s="13">
        <v>43308</v>
      </c>
      <c r="G47" s="13" t="s">
        <v>62</v>
      </c>
      <c r="H47" s="11" t="s">
        <v>172</v>
      </c>
      <c r="I47" s="11" t="s">
        <v>16</v>
      </c>
      <c r="J47" s="11" t="s">
        <v>17</v>
      </c>
      <c r="K47" s="11">
        <v>6</v>
      </c>
      <c r="L47" s="11" t="s">
        <v>56</v>
      </c>
      <c r="M47" s="11"/>
      <c r="N47" s="14" t="s">
        <v>41</v>
      </c>
    </row>
    <row r="48" spans="1:14" x14ac:dyDescent="0.2">
      <c r="A48" s="10"/>
      <c r="B48" s="11" t="s">
        <v>12</v>
      </c>
      <c r="C48" s="11" t="s">
        <v>57</v>
      </c>
      <c r="D48" s="11">
        <v>20</v>
      </c>
      <c r="E48" s="7" t="s">
        <v>199</v>
      </c>
      <c r="F48" s="13">
        <v>43308</v>
      </c>
      <c r="G48" s="13" t="s">
        <v>62</v>
      </c>
      <c r="H48" s="11" t="s">
        <v>172</v>
      </c>
      <c r="I48" s="11" t="s">
        <v>16</v>
      </c>
      <c r="J48" s="11" t="s">
        <v>17</v>
      </c>
      <c r="K48" s="11">
        <v>6</v>
      </c>
      <c r="L48" s="11" t="s">
        <v>56</v>
      </c>
      <c r="M48" s="11"/>
      <c r="N48" s="14" t="s">
        <v>58</v>
      </c>
    </row>
    <row r="49" spans="1:14" x14ac:dyDescent="0.2">
      <c r="A49" s="10"/>
      <c r="B49" s="11" t="s">
        <v>12</v>
      </c>
      <c r="C49" s="11" t="s">
        <v>42</v>
      </c>
      <c r="D49" s="11">
        <v>150</v>
      </c>
      <c r="E49" s="7" t="s">
        <v>199</v>
      </c>
      <c r="F49" s="13">
        <v>43308</v>
      </c>
      <c r="G49" s="13" t="s">
        <v>62</v>
      </c>
      <c r="H49" s="11" t="s">
        <v>172</v>
      </c>
      <c r="I49" s="11" t="s">
        <v>16</v>
      </c>
      <c r="J49" s="11" t="s">
        <v>17</v>
      </c>
      <c r="K49" s="11">
        <v>6</v>
      </c>
      <c r="L49" s="11" t="s">
        <v>56</v>
      </c>
      <c r="M49" s="11"/>
      <c r="N49" s="14" t="s">
        <v>43</v>
      </c>
    </row>
    <row r="50" spans="1:14" x14ac:dyDescent="0.2">
      <c r="A50" s="10"/>
      <c r="B50" s="11" t="s">
        <v>12</v>
      </c>
      <c r="C50" s="11" t="s">
        <v>21</v>
      </c>
      <c r="D50" s="11">
        <v>22</v>
      </c>
      <c r="E50" s="7" t="s">
        <v>199</v>
      </c>
      <c r="F50" s="13">
        <v>43308</v>
      </c>
      <c r="G50" s="13" t="s">
        <v>121</v>
      </c>
      <c r="H50" s="11" t="s">
        <v>173</v>
      </c>
      <c r="I50" s="11" t="s">
        <v>24</v>
      </c>
      <c r="J50" s="11" t="s">
        <v>25</v>
      </c>
      <c r="K50" s="11">
        <v>7</v>
      </c>
      <c r="L50" s="11" t="s">
        <v>196</v>
      </c>
      <c r="M50" s="11" t="s">
        <v>122</v>
      </c>
      <c r="N50" s="14" t="s">
        <v>26</v>
      </c>
    </row>
    <row r="51" spans="1:14" x14ac:dyDescent="0.2">
      <c r="A51" s="10"/>
      <c r="B51" s="11" t="s">
        <v>12</v>
      </c>
      <c r="C51" s="11" t="s">
        <v>27</v>
      </c>
      <c r="D51" s="11">
        <v>30</v>
      </c>
      <c r="E51" s="7" t="s">
        <v>199</v>
      </c>
      <c r="F51" s="13">
        <v>43308</v>
      </c>
      <c r="G51" s="13" t="s">
        <v>121</v>
      </c>
      <c r="H51" s="11" t="s">
        <v>173</v>
      </c>
      <c r="I51" s="11" t="s">
        <v>24</v>
      </c>
      <c r="J51" s="11" t="s">
        <v>25</v>
      </c>
      <c r="K51" s="11">
        <v>7</v>
      </c>
      <c r="L51" s="11" t="s">
        <v>196</v>
      </c>
      <c r="M51" s="11" t="s">
        <v>122</v>
      </c>
      <c r="N51" s="14" t="s">
        <v>28</v>
      </c>
    </row>
    <row r="52" spans="1:14" x14ac:dyDescent="0.2">
      <c r="A52" s="10"/>
      <c r="B52" s="11" t="s">
        <v>92</v>
      </c>
      <c r="C52" s="11" t="s">
        <v>109</v>
      </c>
      <c r="D52" s="11">
        <v>3</v>
      </c>
      <c r="E52" s="7" t="s">
        <v>199</v>
      </c>
      <c r="F52" s="13">
        <v>43308</v>
      </c>
      <c r="G52" s="13" t="s">
        <v>121</v>
      </c>
      <c r="H52" s="11" t="s">
        <v>173</v>
      </c>
      <c r="I52" s="11" t="s">
        <v>24</v>
      </c>
      <c r="J52" s="11" t="s">
        <v>25</v>
      </c>
      <c r="K52" s="11">
        <v>7</v>
      </c>
      <c r="L52" s="11" t="s">
        <v>196</v>
      </c>
      <c r="M52" s="11" t="s">
        <v>122</v>
      </c>
      <c r="N52" s="14" t="s">
        <v>110</v>
      </c>
    </row>
    <row r="53" spans="1:14" x14ac:dyDescent="0.2">
      <c r="A53" s="10"/>
      <c r="B53" s="11" t="s">
        <v>92</v>
      </c>
      <c r="C53" s="11" t="s">
        <v>96</v>
      </c>
      <c r="D53" s="11">
        <v>2</v>
      </c>
      <c r="E53" s="7" t="s">
        <v>199</v>
      </c>
      <c r="F53" s="13">
        <v>43308</v>
      </c>
      <c r="G53" s="13" t="s">
        <v>121</v>
      </c>
      <c r="H53" s="11" t="s">
        <v>173</v>
      </c>
      <c r="I53" s="11" t="s">
        <v>24</v>
      </c>
      <c r="J53" s="11" t="s">
        <v>25</v>
      </c>
      <c r="K53" s="11">
        <v>7</v>
      </c>
      <c r="L53" s="11" t="s">
        <v>196</v>
      </c>
      <c r="M53" s="11" t="s">
        <v>122</v>
      </c>
      <c r="N53" s="14" t="s">
        <v>97</v>
      </c>
    </row>
    <row r="54" spans="1:14" x14ac:dyDescent="0.2">
      <c r="A54" s="10"/>
      <c r="B54" s="11" t="s">
        <v>33</v>
      </c>
      <c r="C54" s="11" t="s">
        <v>34</v>
      </c>
      <c r="D54" s="11">
        <v>20</v>
      </c>
      <c r="E54" s="7" t="s">
        <v>199</v>
      </c>
      <c r="F54" s="13">
        <v>43308</v>
      </c>
      <c r="G54" s="13" t="s">
        <v>121</v>
      </c>
      <c r="H54" s="11" t="s">
        <v>173</v>
      </c>
      <c r="I54" s="11" t="s">
        <v>24</v>
      </c>
      <c r="J54" s="11" t="s">
        <v>25</v>
      </c>
      <c r="K54" s="11">
        <v>7</v>
      </c>
      <c r="L54" s="11" t="s">
        <v>196</v>
      </c>
      <c r="M54" s="11" t="s">
        <v>122</v>
      </c>
      <c r="N54" s="14" t="s">
        <v>35</v>
      </c>
    </row>
    <row r="55" spans="1:14" x14ac:dyDescent="0.2">
      <c r="A55" s="10"/>
      <c r="B55" s="11" t="s">
        <v>33</v>
      </c>
      <c r="C55" s="11" t="s">
        <v>36</v>
      </c>
      <c r="D55" s="11">
        <v>3</v>
      </c>
      <c r="E55" s="7" t="s">
        <v>199</v>
      </c>
      <c r="F55" s="13">
        <v>43308</v>
      </c>
      <c r="G55" s="13" t="s">
        <v>121</v>
      </c>
      <c r="H55" s="11" t="s">
        <v>173</v>
      </c>
      <c r="I55" s="11" t="s">
        <v>24</v>
      </c>
      <c r="J55" s="11" t="s">
        <v>25</v>
      </c>
      <c r="K55" s="11">
        <v>7</v>
      </c>
      <c r="L55" s="11" t="s">
        <v>196</v>
      </c>
      <c r="M55" s="11" t="s">
        <v>122</v>
      </c>
      <c r="N55" s="14" t="s">
        <v>37</v>
      </c>
    </row>
    <row r="56" spans="1:14" x14ac:dyDescent="0.2">
      <c r="A56" s="10"/>
      <c r="B56" s="11" t="s">
        <v>33</v>
      </c>
      <c r="C56" s="11" t="s">
        <v>53</v>
      </c>
      <c r="D56" s="11">
        <v>1</v>
      </c>
      <c r="E56" s="7" t="s">
        <v>199</v>
      </c>
      <c r="F56" s="13">
        <v>43308</v>
      </c>
      <c r="G56" s="13" t="s">
        <v>121</v>
      </c>
      <c r="H56" s="11" t="s">
        <v>173</v>
      </c>
      <c r="I56" s="11" t="s">
        <v>24</v>
      </c>
      <c r="J56" s="11" t="s">
        <v>25</v>
      </c>
      <c r="K56" s="11">
        <v>7</v>
      </c>
      <c r="L56" s="11" t="s">
        <v>196</v>
      </c>
      <c r="M56" s="11" t="s">
        <v>122</v>
      </c>
      <c r="N56" s="14" t="s">
        <v>54</v>
      </c>
    </row>
    <row r="57" spans="1:14" x14ac:dyDescent="0.2">
      <c r="A57" s="10"/>
      <c r="B57" s="11" t="s">
        <v>12</v>
      </c>
      <c r="C57" s="11" t="s">
        <v>38</v>
      </c>
      <c r="D57" s="11">
        <v>48</v>
      </c>
      <c r="E57" s="7" t="s">
        <v>199</v>
      </c>
      <c r="F57" s="13">
        <v>43308</v>
      </c>
      <c r="G57" s="13" t="s">
        <v>121</v>
      </c>
      <c r="H57" s="11" t="s">
        <v>173</v>
      </c>
      <c r="I57" s="11" t="s">
        <v>16</v>
      </c>
      <c r="J57" s="11" t="s">
        <v>17</v>
      </c>
      <c r="K57" s="11">
        <v>7</v>
      </c>
      <c r="L57" s="11" t="s">
        <v>196</v>
      </c>
      <c r="M57" s="11" t="s">
        <v>122</v>
      </c>
      <c r="N57" s="14" t="s">
        <v>39</v>
      </c>
    </row>
    <row r="58" spans="1:14" x14ac:dyDescent="0.2">
      <c r="A58" s="10"/>
      <c r="B58" s="11" t="s">
        <v>12</v>
      </c>
      <c r="C58" s="11" t="s">
        <v>40</v>
      </c>
      <c r="D58" s="11">
        <v>46</v>
      </c>
      <c r="E58" s="7" t="s">
        <v>199</v>
      </c>
      <c r="F58" s="13">
        <v>43308</v>
      </c>
      <c r="G58" s="13" t="s">
        <v>121</v>
      </c>
      <c r="H58" s="11" t="s">
        <v>173</v>
      </c>
      <c r="I58" s="11" t="s">
        <v>16</v>
      </c>
      <c r="J58" s="11" t="s">
        <v>17</v>
      </c>
      <c r="K58" s="11">
        <v>7</v>
      </c>
      <c r="L58" s="11" t="s">
        <v>196</v>
      </c>
      <c r="M58" s="11" t="s">
        <v>122</v>
      </c>
      <c r="N58" s="17" t="s">
        <v>41</v>
      </c>
    </row>
    <row r="59" spans="1:14" x14ac:dyDescent="0.2">
      <c r="A59" s="10"/>
      <c r="B59" s="11" t="s">
        <v>12</v>
      </c>
      <c r="C59" s="11" t="s">
        <v>57</v>
      </c>
      <c r="D59" s="11">
        <v>2</v>
      </c>
      <c r="E59" s="7" t="s">
        <v>199</v>
      </c>
      <c r="F59" s="13">
        <v>43308</v>
      </c>
      <c r="G59" s="13" t="s">
        <v>121</v>
      </c>
      <c r="H59" s="11" t="s">
        <v>173</v>
      </c>
      <c r="I59" s="11" t="s">
        <v>16</v>
      </c>
      <c r="J59" s="11" t="s">
        <v>17</v>
      </c>
      <c r="K59" s="11">
        <v>7</v>
      </c>
      <c r="L59" s="11" t="s">
        <v>196</v>
      </c>
      <c r="M59" s="11" t="s">
        <v>122</v>
      </c>
      <c r="N59" s="18" t="s">
        <v>58</v>
      </c>
    </row>
    <row r="60" spans="1:14" x14ac:dyDescent="0.2">
      <c r="A60" s="10"/>
      <c r="B60" s="11" t="s">
        <v>12</v>
      </c>
      <c r="C60" s="11" t="s">
        <v>80</v>
      </c>
      <c r="D60" s="11">
        <v>2</v>
      </c>
      <c r="E60" s="7" t="s">
        <v>199</v>
      </c>
      <c r="F60" s="13">
        <v>43308</v>
      </c>
      <c r="G60" s="13" t="s">
        <v>121</v>
      </c>
      <c r="H60" s="11" t="s">
        <v>173</v>
      </c>
      <c r="I60" s="11" t="s">
        <v>16</v>
      </c>
      <c r="J60" s="11" t="s">
        <v>17</v>
      </c>
      <c r="K60" s="11">
        <v>7</v>
      </c>
      <c r="L60" s="11" t="s">
        <v>196</v>
      </c>
      <c r="M60" s="11" t="s">
        <v>122</v>
      </c>
      <c r="N60" s="14" t="s">
        <v>82</v>
      </c>
    </row>
    <row r="61" spans="1:14" x14ac:dyDescent="0.2">
      <c r="A61" s="10"/>
      <c r="B61" s="11" t="s">
        <v>12</v>
      </c>
      <c r="C61" s="11" t="s">
        <v>49</v>
      </c>
      <c r="D61" s="11">
        <v>20</v>
      </c>
      <c r="E61" s="7" t="s">
        <v>199</v>
      </c>
      <c r="F61" s="13">
        <v>43308</v>
      </c>
      <c r="G61" s="13" t="s">
        <v>121</v>
      </c>
      <c r="H61" s="11" t="s">
        <v>173</v>
      </c>
      <c r="I61" s="11" t="s">
        <v>16</v>
      </c>
      <c r="J61" s="11" t="s">
        <v>17</v>
      </c>
      <c r="K61" s="11">
        <v>7</v>
      </c>
      <c r="L61" s="11" t="s">
        <v>198</v>
      </c>
      <c r="M61" s="11"/>
      <c r="N61" s="14" t="s">
        <v>50</v>
      </c>
    </row>
    <row r="62" spans="1:14" x14ac:dyDescent="0.2">
      <c r="A62" s="10"/>
      <c r="B62" s="11" t="s">
        <v>12</v>
      </c>
      <c r="C62" s="11" t="s">
        <v>21</v>
      </c>
      <c r="D62" s="11">
        <v>95</v>
      </c>
      <c r="E62" s="7" t="s">
        <v>199</v>
      </c>
      <c r="F62" s="13">
        <v>43308</v>
      </c>
      <c r="G62" s="13" t="s">
        <v>63</v>
      </c>
      <c r="H62" s="11" t="s">
        <v>174</v>
      </c>
      <c r="I62" s="11" t="s">
        <v>24</v>
      </c>
      <c r="J62" s="11" t="s">
        <v>25</v>
      </c>
      <c r="K62" s="11">
        <v>8</v>
      </c>
      <c r="L62" s="11" t="s">
        <v>196</v>
      </c>
      <c r="M62" s="11"/>
      <c r="N62" s="14" t="s">
        <v>26</v>
      </c>
    </row>
    <row r="63" spans="1:14" x14ac:dyDescent="0.2">
      <c r="A63" s="10"/>
      <c r="B63" s="11" t="s">
        <v>12</v>
      </c>
      <c r="C63" s="11" t="s">
        <v>29</v>
      </c>
      <c r="D63" s="11">
        <v>10</v>
      </c>
      <c r="E63" s="7" t="s">
        <v>199</v>
      </c>
      <c r="F63" s="13">
        <v>43308</v>
      </c>
      <c r="G63" s="13" t="s">
        <v>63</v>
      </c>
      <c r="H63" s="11" t="s">
        <v>174</v>
      </c>
      <c r="I63" s="11" t="s">
        <v>24</v>
      </c>
      <c r="J63" s="11" t="s">
        <v>25</v>
      </c>
      <c r="K63" s="11">
        <v>8</v>
      </c>
      <c r="L63" s="11" t="s">
        <v>196</v>
      </c>
      <c r="M63" s="11"/>
      <c r="N63" s="14" t="s">
        <v>30</v>
      </c>
    </row>
    <row r="64" spans="1:14" x14ac:dyDescent="0.2">
      <c r="A64" s="10"/>
      <c r="B64" s="11" t="s">
        <v>12</v>
      </c>
      <c r="C64" s="11" t="s">
        <v>49</v>
      </c>
      <c r="D64" s="11">
        <v>35</v>
      </c>
      <c r="E64" s="7" t="s">
        <v>199</v>
      </c>
      <c r="F64" s="13">
        <v>43308</v>
      </c>
      <c r="G64" s="13" t="s">
        <v>63</v>
      </c>
      <c r="H64" s="11" t="s">
        <v>174</v>
      </c>
      <c r="I64" s="11" t="s">
        <v>24</v>
      </c>
      <c r="J64" s="11" t="s">
        <v>25</v>
      </c>
      <c r="K64" s="11">
        <v>8</v>
      </c>
      <c r="L64" s="11" t="s">
        <v>196</v>
      </c>
      <c r="M64" s="11"/>
      <c r="N64" s="14" t="s">
        <v>50</v>
      </c>
    </row>
    <row r="65" spans="1:14" x14ac:dyDescent="0.2">
      <c r="A65" s="10"/>
      <c r="B65" s="11" t="s">
        <v>33</v>
      </c>
      <c r="C65" s="11" t="s">
        <v>36</v>
      </c>
      <c r="D65" s="11">
        <v>10</v>
      </c>
      <c r="E65" s="7" t="s">
        <v>199</v>
      </c>
      <c r="F65" s="13">
        <v>43308</v>
      </c>
      <c r="G65" s="13" t="s">
        <v>63</v>
      </c>
      <c r="H65" s="11" t="s">
        <v>174</v>
      </c>
      <c r="I65" s="11" t="s">
        <v>24</v>
      </c>
      <c r="J65" s="11" t="s">
        <v>25</v>
      </c>
      <c r="K65" s="11">
        <v>8</v>
      </c>
      <c r="L65" s="11" t="s">
        <v>196</v>
      </c>
      <c r="M65" s="11"/>
      <c r="N65" s="14" t="s">
        <v>37</v>
      </c>
    </row>
    <row r="66" spans="1:14" x14ac:dyDescent="0.2">
      <c r="A66" s="10"/>
      <c r="B66" s="11" t="s">
        <v>33</v>
      </c>
      <c r="C66" s="11" t="s">
        <v>53</v>
      </c>
      <c r="D66" s="11">
        <v>2</v>
      </c>
      <c r="E66" s="7" t="s">
        <v>199</v>
      </c>
      <c r="F66" s="13">
        <v>43308</v>
      </c>
      <c r="G66" s="13" t="s">
        <v>63</v>
      </c>
      <c r="H66" s="11" t="s">
        <v>174</v>
      </c>
      <c r="I66" s="11" t="s">
        <v>24</v>
      </c>
      <c r="J66" s="11" t="s">
        <v>25</v>
      </c>
      <c r="K66" s="11">
        <v>8</v>
      </c>
      <c r="L66" s="11" t="s">
        <v>196</v>
      </c>
      <c r="M66" s="11"/>
      <c r="N66" s="14" t="s">
        <v>54</v>
      </c>
    </row>
    <row r="67" spans="1:14" x14ac:dyDescent="0.2">
      <c r="A67" s="10"/>
      <c r="B67" s="11" t="s">
        <v>12</v>
      </c>
      <c r="C67" s="11" t="s">
        <v>47</v>
      </c>
      <c r="D67" s="11">
        <v>6</v>
      </c>
      <c r="E67" s="7" t="s">
        <v>199</v>
      </c>
      <c r="F67" s="13">
        <v>43308</v>
      </c>
      <c r="G67" s="13" t="s">
        <v>63</v>
      </c>
      <c r="H67" s="11" t="s">
        <v>174</v>
      </c>
      <c r="I67" s="11" t="s">
        <v>16</v>
      </c>
      <c r="J67" s="11" t="s">
        <v>17</v>
      </c>
      <c r="K67" s="11">
        <v>8</v>
      </c>
      <c r="L67" s="11" t="s">
        <v>196</v>
      </c>
      <c r="M67" s="11"/>
      <c r="N67" s="14" t="s">
        <v>48</v>
      </c>
    </row>
    <row r="68" spans="1:14" x14ac:dyDescent="0.2">
      <c r="A68" s="10"/>
      <c r="B68" s="11" t="s">
        <v>12</v>
      </c>
      <c r="C68" s="11" t="s">
        <v>19</v>
      </c>
      <c r="D68" s="11">
        <v>25</v>
      </c>
      <c r="E68" s="7" t="s">
        <v>199</v>
      </c>
      <c r="F68" s="13">
        <v>43308</v>
      </c>
      <c r="G68" s="13" t="s">
        <v>63</v>
      </c>
      <c r="H68" s="11" t="s">
        <v>174</v>
      </c>
      <c r="I68" s="11" t="s">
        <v>16</v>
      </c>
      <c r="J68" s="11" t="s">
        <v>17</v>
      </c>
      <c r="K68" s="11">
        <v>8</v>
      </c>
      <c r="L68" s="11" t="s">
        <v>196</v>
      </c>
      <c r="M68" s="11"/>
      <c r="N68" s="14" t="s">
        <v>20</v>
      </c>
    </row>
    <row r="69" spans="1:14" x14ac:dyDescent="0.2">
      <c r="A69" s="10"/>
      <c r="B69" s="11" t="s">
        <v>12</v>
      </c>
      <c r="C69" s="11" t="s">
        <v>65</v>
      </c>
      <c r="D69" s="11">
        <v>36</v>
      </c>
      <c r="E69" s="7" t="s">
        <v>199</v>
      </c>
      <c r="F69" s="13">
        <v>43308</v>
      </c>
      <c r="G69" s="13" t="s">
        <v>63</v>
      </c>
      <c r="H69" s="11" t="s">
        <v>174</v>
      </c>
      <c r="I69" s="11" t="s">
        <v>16</v>
      </c>
      <c r="J69" s="11" t="s">
        <v>17</v>
      </c>
      <c r="K69" s="11">
        <v>8</v>
      </c>
      <c r="L69" s="11" t="s">
        <v>196</v>
      </c>
      <c r="M69" s="11"/>
      <c r="N69" s="14" t="s">
        <v>66</v>
      </c>
    </row>
    <row r="70" spans="1:14" x14ac:dyDescent="0.2">
      <c r="A70" s="10"/>
      <c r="B70" s="11" t="s">
        <v>12</v>
      </c>
      <c r="C70" s="11" t="s">
        <v>40</v>
      </c>
      <c r="D70" s="11">
        <v>81</v>
      </c>
      <c r="E70" s="7" t="s">
        <v>199</v>
      </c>
      <c r="F70" s="13">
        <v>43308</v>
      </c>
      <c r="G70" s="13" t="s">
        <v>63</v>
      </c>
      <c r="H70" s="11" t="s">
        <v>174</v>
      </c>
      <c r="I70" s="11" t="s">
        <v>16</v>
      </c>
      <c r="J70" s="11" t="s">
        <v>17</v>
      </c>
      <c r="K70" s="11">
        <v>8</v>
      </c>
      <c r="L70" s="11" t="s">
        <v>196</v>
      </c>
      <c r="M70" s="11"/>
      <c r="N70" s="14" t="s">
        <v>41</v>
      </c>
    </row>
    <row r="71" spans="1:14" x14ac:dyDescent="0.2">
      <c r="A71" s="10"/>
      <c r="B71" s="11" t="s">
        <v>12</v>
      </c>
      <c r="C71" s="11" t="s">
        <v>51</v>
      </c>
      <c r="D71" s="11">
        <v>91</v>
      </c>
      <c r="E71" s="7" t="s">
        <v>199</v>
      </c>
      <c r="F71" s="13">
        <v>43308</v>
      </c>
      <c r="G71" s="13" t="s">
        <v>63</v>
      </c>
      <c r="H71" s="11" t="s">
        <v>174</v>
      </c>
      <c r="I71" s="11" t="s">
        <v>16</v>
      </c>
      <c r="J71" s="11" t="s">
        <v>17</v>
      </c>
      <c r="K71" s="11">
        <v>8</v>
      </c>
      <c r="L71" s="11" t="s">
        <v>196</v>
      </c>
      <c r="M71" s="11"/>
      <c r="N71" s="14" t="s">
        <v>52</v>
      </c>
    </row>
    <row r="72" spans="1:14" x14ac:dyDescent="0.2">
      <c r="A72" s="10"/>
      <c r="B72" s="11" t="s">
        <v>12</v>
      </c>
      <c r="C72" s="11" t="s">
        <v>27</v>
      </c>
      <c r="D72" s="11">
        <v>60</v>
      </c>
      <c r="E72" s="7" t="s">
        <v>199</v>
      </c>
      <c r="F72" s="13">
        <v>43308</v>
      </c>
      <c r="G72" s="13" t="s">
        <v>67</v>
      </c>
      <c r="H72" s="11" t="s">
        <v>175</v>
      </c>
      <c r="I72" s="11" t="s">
        <v>24</v>
      </c>
      <c r="J72" s="11" t="s">
        <v>25</v>
      </c>
      <c r="K72" s="11">
        <v>9</v>
      </c>
      <c r="L72" s="11" t="s">
        <v>56</v>
      </c>
      <c r="M72" s="11"/>
      <c r="N72" s="14" t="s">
        <v>28</v>
      </c>
    </row>
    <row r="73" spans="1:14" x14ac:dyDescent="0.2">
      <c r="A73" s="10"/>
      <c r="B73" s="11" t="s">
        <v>92</v>
      </c>
      <c r="C73" s="11" t="s">
        <v>96</v>
      </c>
      <c r="D73" s="11">
        <v>60</v>
      </c>
      <c r="E73" s="7" t="s">
        <v>199</v>
      </c>
      <c r="F73" s="13">
        <v>43308</v>
      </c>
      <c r="G73" s="13" t="s">
        <v>67</v>
      </c>
      <c r="H73" s="11" t="s">
        <v>175</v>
      </c>
      <c r="I73" s="11" t="s">
        <v>24</v>
      </c>
      <c r="J73" s="11" t="s">
        <v>25</v>
      </c>
      <c r="K73" s="11">
        <v>9</v>
      </c>
      <c r="L73" s="11" t="s">
        <v>56</v>
      </c>
      <c r="M73" s="11"/>
      <c r="N73" s="14" t="s">
        <v>97</v>
      </c>
    </row>
    <row r="74" spans="1:14" x14ac:dyDescent="0.2">
      <c r="A74" s="10"/>
      <c r="B74" s="11" t="s">
        <v>33</v>
      </c>
      <c r="C74" s="11" t="s">
        <v>34</v>
      </c>
      <c r="D74" s="11">
        <v>40</v>
      </c>
      <c r="E74" s="7" t="s">
        <v>199</v>
      </c>
      <c r="F74" s="13">
        <v>43308</v>
      </c>
      <c r="G74" s="13" t="s">
        <v>67</v>
      </c>
      <c r="H74" s="11" t="s">
        <v>175</v>
      </c>
      <c r="I74" s="11" t="s">
        <v>24</v>
      </c>
      <c r="J74" s="11" t="s">
        <v>25</v>
      </c>
      <c r="K74" s="11">
        <v>9</v>
      </c>
      <c r="L74" s="11" t="s">
        <v>56</v>
      </c>
      <c r="M74" s="11"/>
      <c r="N74" s="14" t="s">
        <v>35</v>
      </c>
    </row>
    <row r="75" spans="1:14" x14ac:dyDescent="0.2">
      <c r="A75" s="10"/>
      <c r="B75" s="11" t="s">
        <v>33</v>
      </c>
      <c r="C75" s="11" t="s">
        <v>36</v>
      </c>
      <c r="D75" s="11">
        <v>20</v>
      </c>
      <c r="E75" s="7" t="s">
        <v>199</v>
      </c>
      <c r="F75" s="13">
        <v>43308</v>
      </c>
      <c r="G75" s="13" t="s">
        <v>67</v>
      </c>
      <c r="H75" s="11" t="s">
        <v>175</v>
      </c>
      <c r="I75" s="11" t="s">
        <v>24</v>
      </c>
      <c r="J75" s="11" t="s">
        <v>25</v>
      </c>
      <c r="K75" s="11">
        <v>9</v>
      </c>
      <c r="L75" s="11" t="s">
        <v>56</v>
      </c>
      <c r="M75" s="11"/>
      <c r="N75" s="14" t="s">
        <v>37</v>
      </c>
    </row>
    <row r="76" spans="1:14" x14ac:dyDescent="0.2">
      <c r="A76" s="10"/>
      <c r="B76" s="11" t="s">
        <v>12</v>
      </c>
      <c r="C76" s="11" t="s">
        <v>19</v>
      </c>
      <c r="D76" s="11">
        <v>140</v>
      </c>
      <c r="E76" s="7" t="s">
        <v>199</v>
      </c>
      <c r="F76" s="13">
        <v>43308</v>
      </c>
      <c r="G76" s="13" t="s">
        <v>67</v>
      </c>
      <c r="H76" s="11" t="s">
        <v>175</v>
      </c>
      <c r="I76" s="11" t="s">
        <v>16</v>
      </c>
      <c r="J76" s="11" t="s">
        <v>17</v>
      </c>
      <c r="K76" s="11">
        <v>9</v>
      </c>
      <c r="L76" s="11" t="s">
        <v>56</v>
      </c>
      <c r="M76" s="11"/>
      <c r="N76" s="14" t="s">
        <v>20</v>
      </c>
    </row>
    <row r="77" spans="1:14" x14ac:dyDescent="0.2">
      <c r="A77" s="10"/>
      <c r="B77" s="11" t="s">
        <v>12</v>
      </c>
      <c r="C77" s="11" t="s">
        <v>65</v>
      </c>
      <c r="D77" s="11">
        <v>4</v>
      </c>
      <c r="E77" s="7" t="s">
        <v>199</v>
      </c>
      <c r="F77" s="13">
        <v>43308</v>
      </c>
      <c r="G77" s="13" t="s">
        <v>67</v>
      </c>
      <c r="H77" s="11" t="s">
        <v>175</v>
      </c>
      <c r="I77" s="11" t="s">
        <v>16</v>
      </c>
      <c r="J77" s="11" t="s">
        <v>17</v>
      </c>
      <c r="K77" s="11">
        <v>9</v>
      </c>
      <c r="L77" s="11" t="s">
        <v>56</v>
      </c>
      <c r="M77" s="11"/>
      <c r="N77" s="14" t="s">
        <v>66</v>
      </c>
    </row>
    <row r="78" spans="1:14" x14ac:dyDescent="0.2">
      <c r="A78" s="10"/>
      <c r="B78" s="11" t="s">
        <v>12</v>
      </c>
      <c r="C78" s="11" t="s">
        <v>40</v>
      </c>
      <c r="D78" s="11">
        <v>80</v>
      </c>
      <c r="E78" s="7" t="s">
        <v>199</v>
      </c>
      <c r="F78" s="13">
        <v>43308</v>
      </c>
      <c r="G78" s="13" t="s">
        <v>67</v>
      </c>
      <c r="H78" s="11" t="s">
        <v>175</v>
      </c>
      <c r="I78" s="11" t="s">
        <v>16</v>
      </c>
      <c r="J78" s="11" t="s">
        <v>17</v>
      </c>
      <c r="K78" s="11">
        <v>9</v>
      </c>
      <c r="L78" s="11" t="s">
        <v>56</v>
      </c>
      <c r="M78" s="11"/>
      <c r="N78" s="14" t="s">
        <v>41</v>
      </c>
    </row>
    <row r="79" spans="1:14" x14ac:dyDescent="0.2">
      <c r="A79" s="10"/>
      <c r="B79" s="11" t="s">
        <v>12</v>
      </c>
      <c r="C79" s="11" t="s">
        <v>51</v>
      </c>
      <c r="D79" s="11">
        <v>77</v>
      </c>
      <c r="E79" s="7" t="s">
        <v>199</v>
      </c>
      <c r="F79" s="13">
        <v>43308</v>
      </c>
      <c r="G79" s="13" t="s">
        <v>67</v>
      </c>
      <c r="H79" s="11" t="s">
        <v>175</v>
      </c>
      <c r="I79" s="11" t="s">
        <v>16</v>
      </c>
      <c r="J79" s="11" t="s">
        <v>17</v>
      </c>
      <c r="K79" s="11">
        <v>9</v>
      </c>
      <c r="L79" s="11" t="s">
        <v>56</v>
      </c>
      <c r="M79" s="11"/>
      <c r="N79" s="14" t="s">
        <v>52</v>
      </c>
    </row>
    <row r="80" spans="1:14" x14ac:dyDescent="0.2">
      <c r="A80" s="10"/>
      <c r="B80" s="11" t="s">
        <v>12</v>
      </c>
      <c r="C80" s="11" t="s">
        <v>80</v>
      </c>
      <c r="D80" s="11">
        <v>2</v>
      </c>
      <c r="E80" s="7" t="s">
        <v>199</v>
      </c>
      <c r="F80" s="13">
        <v>43308</v>
      </c>
      <c r="G80" s="13" t="s">
        <v>67</v>
      </c>
      <c r="H80" s="11" t="s">
        <v>175</v>
      </c>
      <c r="I80" s="11" t="s">
        <v>16</v>
      </c>
      <c r="J80" s="11" t="s">
        <v>17</v>
      </c>
      <c r="K80" s="11">
        <v>9</v>
      </c>
      <c r="L80" s="11" t="s">
        <v>56</v>
      </c>
      <c r="M80" s="11"/>
      <c r="N80" s="14" t="s">
        <v>82</v>
      </c>
    </row>
    <row r="81" spans="1:14" x14ac:dyDescent="0.2">
      <c r="A81" s="10"/>
      <c r="B81" s="11" t="s">
        <v>12</v>
      </c>
      <c r="C81" s="11" t="s">
        <v>42</v>
      </c>
      <c r="D81" s="11">
        <v>60</v>
      </c>
      <c r="E81" s="7" t="s">
        <v>199</v>
      </c>
      <c r="F81" s="13">
        <v>43308</v>
      </c>
      <c r="G81" s="13" t="s">
        <v>67</v>
      </c>
      <c r="H81" s="11" t="s">
        <v>175</v>
      </c>
      <c r="I81" s="11" t="s">
        <v>16</v>
      </c>
      <c r="J81" s="11" t="s">
        <v>17</v>
      </c>
      <c r="K81" s="11">
        <v>9</v>
      </c>
      <c r="L81" s="11" t="s">
        <v>56</v>
      </c>
      <c r="M81" s="11"/>
      <c r="N81" s="14" t="s">
        <v>43</v>
      </c>
    </row>
    <row r="82" spans="1:14" x14ac:dyDescent="0.2">
      <c r="A82" s="10"/>
      <c r="B82" s="11" t="s">
        <v>12</v>
      </c>
      <c r="C82" s="11" t="s">
        <v>27</v>
      </c>
      <c r="D82" s="11">
        <v>100</v>
      </c>
      <c r="E82" s="7" t="s">
        <v>199</v>
      </c>
      <c r="F82" s="13">
        <v>43308</v>
      </c>
      <c r="G82" s="13" t="s">
        <v>68</v>
      </c>
      <c r="H82" s="11" t="s">
        <v>176</v>
      </c>
      <c r="I82" s="11" t="s">
        <v>24</v>
      </c>
      <c r="J82" s="11" t="s">
        <v>25</v>
      </c>
      <c r="K82" s="11">
        <v>10</v>
      </c>
      <c r="L82" s="11" t="s">
        <v>56</v>
      </c>
      <c r="M82" s="11"/>
      <c r="N82" s="14" t="s">
        <v>28</v>
      </c>
    </row>
    <row r="83" spans="1:14" x14ac:dyDescent="0.2">
      <c r="A83" s="10"/>
      <c r="B83" s="11" t="s">
        <v>12</v>
      </c>
      <c r="C83" s="11" t="s">
        <v>29</v>
      </c>
      <c r="D83" s="11">
        <v>12</v>
      </c>
      <c r="E83" s="7" t="s">
        <v>199</v>
      </c>
      <c r="F83" s="13">
        <v>43308</v>
      </c>
      <c r="G83" s="13" t="s">
        <v>68</v>
      </c>
      <c r="H83" s="11" t="s">
        <v>176</v>
      </c>
      <c r="I83" s="11" t="s">
        <v>24</v>
      </c>
      <c r="J83" s="11" t="s">
        <v>25</v>
      </c>
      <c r="K83" s="11">
        <v>10</v>
      </c>
      <c r="L83" s="11" t="s">
        <v>56</v>
      </c>
      <c r="M83" s="11"/>
      <c r="N83" s="14" t="s">
        <v>30</v>
      </c>
    </row>
    <row r="84" spans="1:14" x14ac:dyDescent="0.2">
      <c r="A84" s="10"/>
      <c r="B84" s="11" t="s">
        <v>92</v>
      </c>
      <c r="C84" s="11" t="s">
        <v>109</v>
      </c>
      <c r="D84" s="11">
        <v>5</v>
      </c>
      <c r="E84" s="7" t="s">
        <v>199</v>
      </c>
      <c r="F84" s="13">
        <v>43308</v>
      </c>
      <c r="G84" s="13" t="s">
        <v>68</v>
      </c>
      <c r="H84" s="11" t="s">
        <v>176</v>
      </c>
      <c r="I84" s="11" t="s">
        <v>24</v>
      </c>
      <c r="J84" s="11" t="s">
        <v>25</v>
      </c>
      <c r="K84" s="11">
        <v>10</v>
      </c>
      <c r="L84" s="11" t="s">
        <v>56</v>
      </c>
      <c r="M84" s="11"/>
      <c r="N84" s="14" t="s">
        <v>110</v>
      </c>
    </row>
    <row r="85" spans="1:14" x14ac:dyDescent="0.2">
      <c r="A85" s="10"/>
      <c r="B85" s="11" t="s">
        <v>33</v>
      </c>
      <c r="C85" s="11" t="s">
        <v>34</v>
      </c>
      <c r="D85" s="11">
        <v>10</v>
      </c>
      <c r="E85" s="7" t="s">
        <v>199</v>
      </c>
      <c r="F85" s="13">
        <v>43308</v>
      </c>
      <c r="G85" s="13" t="s">
        <v>68</v>
      </c>
      <c r="H85" s="11" t="s">
        <v>176</v>
      </c>
      <c r="I85" s="11" t="s">
        <v>24</v>
      </c>
      <c r="J85" s="11" t="s">
        <v>25</v>
      </c>
      <c r="K85" s="11">
        <v>10</v>
      </c>
      <c r="L85" s="11" t="s">
        <v>56</v>
      </c>
      <c r="M85" s="11"/>
      <c r="N85" s="14" t="s">
        <v>35</v>
      </c>
    </row>
    <row r="86" spans="1:14" x14ac:dyDescent="0.2">
      <c r="A86" s="10"/>
      <c r="B86" s="11" t="s">
        <v>12</v>
      </c>
      <c r="C86" s="11" t="s">
        <v>19</v>
      </c>
      <c r="D86" s="11">
        <v>460</v>
      </c>
      <c r="E86" s="7" t="s">
        <v>199</v>
      </c>
      <c r="F86" s="13">
        <v>43308</v>
      </c>
      <c r="G86" s="13" t="s">
        <v>68</v>
      </c>
      <c r="H86" s="11" t="s">
        <v>176</v>
      </c>
      <c r="I86" s="11" t="s">
        <v>16</v>
      </c>
      <c r="J86" s="11" t="s">
        <v>17</v>
      </c>
      <c r="K86" s="11">
        <v>10</v>
      </c>
      <c r="L86" s="11" t="s">
        <v>56</v>
      </c>
      <c r="M86" s="11"/>
      <c r="N86" s="14" t="s">
        <v>20</v>
      </c>
    </row>
    <row r="87" spans="1:14" x14ac:dyDescent="0.2">
      <c r="A87" s="10"/>
      <c r="B87" s="11" t="s">
        <v>12</v>
      </c>
      <c r="C87" s="11" t="s">
        <v>40</v>
      </c>
      <c r="D87" s="11">
        <v>60</v>
      </c>
      <c r="E87" s="7" t="s">
        <v>199</v>
      </c>
      <c r="F87" s="13">
        <v>43308</v>
      </c>
      <c r="G87" s="13" t="s">
        <v>68</v>
      </c>
      <c r="H87" s="11" t="s">
        <v>176</v>
      </c>
      <c r="I87" s="11" t="s">
        <v>16</v>
      </c>
      <c r="J87" s="11" t="s">
        <v>17</v>
      </c>
      <c r="K87" s="11">
        <v>10</v>
      </c>
      <c r="L87" s="11" t="s">
        <v>56</v>
      </c>
      <c r="M87" s="11"/>
      <c r="N87" s="14" t="s">
        <v>41</v>
      </c>
    </row>
    <row r="88" spans="1:14" x14ac:dyDescent="0.2">
      <c r="A88" s="10"/>
      <c r="B88" s="11" t="s">
        <v>12</v>
      </c>
      <c r="C88" s="11" t="s">
        <v>21</v>
      </c>
      <c r="D88" s="11">
        <v>35</v>
      </c>
      <c r="E88" s="7" t="s">
        <v>199</v>
      </c>
      <c r="F88" s="13">
        <v>43308</v>
      </c>
      <c r="G88" s="13" t="s">
        <v>123</v>
      </c>
      <c r="H88" s="11" t="s">
        <v>124</v>
      </c>
      <c r="I88" s="11" t="s">
        <v>24</v>
      </c>
      <c r="J88" s="11" t="s">
        <v>25</v>
      </c>
      <c r="K88" s="11">
        <v>11</v>
      </c>
      <c r="L88" s="11" t="s">
        <v>56</v>
      </c>
      <c r="M88" s="11" t="s">
        <v>125</v>
      </c>
      <c r="N88" s="14" t="s">
        <v>26</v>
      </c>
    </row>
    <row r="89" spans="1:14" x14ac:dyDescent="0.2">
      <c r="A89" s="10"/>
      <c r="B89" s="11" t="s">
        <v>12</v>
      </c>
      <c r="C89" s="11" t="s">
        <v>27</v>
      </c>
      <c r="D89" s="11">
        <v>25</v>
      </c>
      <c r="E89" s="7" t="s">
        <v>199</v>
      </c>
      <c r="F89" s="13">
        <v>43308</v>
      </c>
      <c r="G89" s="13" t="s">
        <v>123</v>
      </c>
      <c r="H89" s="11" t="s">
        <v>124</v>
      </c>
      <c r="I89" s="11" t="s">
        <v>24</v>
      </c>
      <c r="J89" s="11" t="s">
        <v>25</v>
      </c>
      <c r="K89" s="11">
        <v>11</v>
      </c>
      <c r="L89" s="11" t="s">
        <v>56</v>
      </c>
      <c r="M89" s="11" t="s">
        <v>125</v>
      </c>
      <c r="N89" s="14" t="s">
        <v>28</v>
      </c>
    </row>
    <row r="90" spans="1:14" x14ac:dyDescent="0.2">
      <c r="A90" s="10"/>
      <c r="B90" s="11" t="s">
        <v>92</v>
      </c>
      <c r="C90" s="11" t="s">
        <v>96</v>
      </c>
      <c r="D90" s="11">
        <v>4</v>
      </c>
      <c r="E90" s="7" t="s">
        <v>199</v>
      </c>
      <c r="F90" s="13">
        <v>43308</v>
      </c>
      <c r="G90" s="13" t="s">
        <v>123</v>
      </c>
      <c r="H90" s="11" t="s">
        <v>124</v>
      </c>
      <c r="I90" s="11" t="s">
        <v>24</v>
      </c>
      <c r="J90" s="11" t="s">
        <v>25</v>
      </c>
      <c r="K90" s="11">
        <v>11</v>
      </c>
      <c r="L90" s="11" t="s">
        <v>56</v>
      </c>
      <c r="M90" s="11" t="s">
        <v>125</v>
      </c>
      <c r="N90" s="14" t="s">
        <v>97</v>
      </c>
    </row>
    <row r="91" spans="1:14" x14ac:dyDescent="0.2">
      <c r="A91" s="10"/>
      <c r="B91" s="11" t="s">
        <v>33</v>
      </c>
      <c r="C91" s="11" t="s">
        <v>34</v>
      </c>
      <c r="D91" s="11">
        <v>15</v>
      </c>
      <c r="E91" s="7" t="s">
        <v>199</v>
      </c>
      <c r="F91" s="13">
        <v>43308</v>
      </c>
      <c r="G91" s="13" t="s">
        <v>123</v>
      </c>
      <c r="H91" s="11" t="s">
        <v>124</v>
      </c>
      <c r="I91" s="11" t="s">
        <v>24</v>
      </c>
      <c r="J91" s="11" t="s">
        <v>25</v>
      </c>
      <c r="K91" s="11">
        <v>11</v>
      </c>
      <c r="L91" s="11" t="s">
        <v>56</v>
      </c>
      <c r="M91" s="11" t="s">
        <v>125</v>
      </c>
      <c r="N91" s="14" t="s">
        <v>35</v>
      </c>
    </row>
    <row r="92" spans="1:14" x14ac:dyDescent="0.2">
      <c r="A92" s="10"/>
      <c r="B92" s="11" t="s">
        <v>12</v>
      </c>
      <c r="C92" s="11" t="s">
        <v>47</v>
      </c>
      <c r="D92" s="11">
        <v>1</v>
      </c>
      <c r="E92" s="7" t="s">
        <v>199</v>
      </c>
      <c r="F92" s="13">
        <v>43308</v>
      </c>
      <c r="G92" s="13" t="s">
        <v>123</v>
      </c>
      <c r="H92" s="11" t="s">
        <v>124</v>
      </c>
      <c r="I92" s="11" t="s">
        <v>16</v>
      </c>
      <c r="J92" s="11" t="s">
        <v>17</v>
      </c>
      <c r="K92" s="11">
        <v>11</v>
      </c>
      <c r="L92" s="11" t="s">
        <v>56</v>
      </c>
      <c r="M92" s="11" t="s">
        <v>125</v>
      </c>
      <c r="N92" s="14" t="s">
        <v>48</v>
      </c>
    </row>
    <row r="93" spans="1:14" x14ac:dyDescent="0.2">
      <c r="A93" s="10"/>
      <c r="B93" s="11" t="s">
        <v>12</v>
      </c>
      <c r="C93" s="11" t="s">
        <v>38</v>
      </c>
      <c r="D93" s="11">
        <v>11</v>
      </c>
      <c r="E93" s="7" t="s">
        <v>199</v>
      </c>
      <c r="F93" s="13">
        <v>43308</v>
      </c>
      <c r="G93" s="13" t="s">
        <v>123</v>
      </c>
      <c r="H93" s="11" t="s">
        <v>124</v>
      </c>
      <c r="I93" s="11" t="s">
        <v>16</v>
      </c>
      <c r="J93" s="11" t="s">
        <v>17</v>
      </c>
      <c r="K93" s="11">
        <v>11</v>
      </c>
      <c r="L93" s="11" t="s">
        <v>56</v>
      </c>
      <c r="M93" s="11" t="s">
        <v>125</v>
      </c>
      <c r="N93" s="14" t="s">
        <v>39</v>
      </c>
    </row>
    <row r="94" spans="1:14" x14ac:dyDescent="0.2">
      <c r="A94" s="10"/>
      <c r="B94" s="11" t="s">
        <v>12</v>
      </c>
      <c r="C94" s="11" t="s">
        <v>19</v>
      </c>
      <c r="D94" s="11">
        <v>47</v>
      </c>
      <c r="E94" s="7" t="s">
        <v>199</v>
      </c>
      <c r="F94" s="13">
        <v>43308</v>
      </c>
      <c r="G94" s="13" t="s">
        <v>123</v>
      </c>
      <c r="H94" s="11" t="s">
        <v>124</v>
      </c>
      <c r="I94" s="11" t="s">
        <v>16</v>
      </c>
      <c r="J94" s="11" t="s">
        <v>17</v>
      </c>
      <c r="K94" s="11">
        <v>11</v>
      </c>
      <c r="L94" s="11" t="s">
        <v>56</v>
      </c>
      <c r="M94" s="11" t="s">
        <v>125</v>
      </c>
      <c r="N94" s="14" t="s">
        <v>20</v>
      </c>
    </row>
    <row r="95" spans="1:14" x14ac:dyDescent="0.2">
      <c r="A95" s="10"/>
      <c r="B95" s="11" t="s">
        <v>12</v>
      </c>
      <c r="C95" s="11" t="s">
        <v>40</v>
      </c>
      <c r="D95" s="11">
        <v>32</v>
      </c>
      <c r="E95" s="7" t="s">
        <v>199</v>
      </c>
      <c r="F95" s="13">
        <v>43308</v>
      </c>
      <c r="G95" s="13" t="s">
        <v>123</v>
      </c>
      <c r="H95" s="11" t="s">
        <v>124</v>
      </c>
      <c r="I95" s="11" t="s">
        <v>16</v>
      </c>
      <c r="J95" s="11" t="s">
        <v>17</v>
      </c>
      <c r="K95" s="11">
        <v>11</v>
      </c>
      <c r="L95" s="11" t="s">
        <v>56</v>
      </c>
      <c r="M95" s="11" t="s">
        <v>125</v>
      </c>
      <c r="N95" s="14" t="s">
        <v>41</v>
      </c>
    </row>
    <row r="96" spans="1:14" x14ac:dyDescent="0.2">
      <c r="A96" s="10"/>
      <c r="B96" s="11" t="s">
        <v>12</v>
      </c>
      <c r="C96" s="11" t="s">
        <v>42</v>
      </c>
      <c r="D96" s="11">
        <v>150</v>
      </c>
      <c r="E96" s="7" t="s">
        <v>199</v>
      </c>
      <c r="F96" s="13">
        <v>43308</v>
      </c>
      <c r="G96" s="13" t="s">
        <v>123</v>
      </c>
      <c r="H96" s="11" t="s">
        <v>124</v>
      </c>
      <c r="I96" s="11" t="s">
        <v>16</v>
      </c>
      <c r="J96" s="11" t="s">
        <v>17</v>
      </c>
      <c r="K96" s="11">
        <v>11</v>
      </c>
      <c r="L96" s="11" t="s">
        <v>56</v>
      </c>
      <c r="M96" s="11" t="s">
        <v>125</v>
      </c>
      <c r="N96" s="14" t="s">
        <v>43</v>
      </c>
    </row>
    <row r="97" spans="1:14" x14ac:dyDescent="0.2">
      <c r="A97" s="10"/>
      <c r="B97" s="11" t="s">
        <v>12</v>
      </c>
      <c r="C97" s="11" t="s">
        <v>21</v>
      </c>
      <c r="D97" s="11">
        <v>25</v>
      </c>
      <c r="E97" s="7" t="s">
        <v>199</v>
      </c>
      <c r="F97" s="13">
        <v>43308</v>
      </c>
      <c r="G97" s="13" t="s">
        <v>126</v>
      </c>
      <c r="H97" s="11" t="s">
        <v>127</v>
      </c>
      <c r="I97" s="11" t="s">
        <v>24</v>
      </c>
      <c r="J97" s="11" t="s">
        <v>25</v>
      </c>
      <c r="K97" s="11">
        <v>11</v>
      </c>
      <c r="L97" s="11" t="s">
        <v>56</v>
      </c>
      <c r="M97" s="11" t="s">
        <v>125</v>
      </c>
      <c r="N97" s="14" t="s">
        <v>26</v>
      </c>
    </row>
    <row r="98" spans="1:14" x14ac:dyDescent="0.2">
      <c r="A98" s="10"/>
      <c r="B98" s="11" t="s">
        <v>12</v>
      </c>
      <c r="C98" s="11" t="s">
        <v>27</v>
      </c>
      <c r="D98" s="11">
        <v>40</v>
      </c>
      <c r="E98" s="7" t="s">
        <v>199</v>
      </c>
      <c r="F98" s="13">
        <v>43308</v>
      </c>
      <c r="G98" s="13" t="s">
        <v>126</v>
      </c>
      <c r="H98" s="11" t="s">
        <v>127</v>
      </c>
      <c r="I98" s="11" t="s">
        <v>24</v>
      </c>
      <c r="J98" s="11" t="s">
        <v>25</v>
      </c>
      <c r="K98" s="11">
        <v>11</v>
      </c>
      <c r="L98" s="11" t="s">
        <v>56</v>
      </c>
      <c r="M98" s="11" t="s">
        <v>125</v>
      </c>
      <c r="N98" s="14" t="s">
        <v>28</v>
      </c>
    </row>
    <row r="99" spans="1:14" x14ac:dyDescent="0.2">
      <c r="A99" s="10"/>
      <c r="B99" s="11" t="s">
        <v>92</v>
      </c>
      <c r="C99" s="11" t="s">
        <v>96</v>
      </c>
      <c r="D99" s="11">
        <v>12</v>
      </c>
      <c r="E99" s="7" t="s">
        <v>199</v>
      </c>
      <c r="F99" s="13">
        <v>43308</v>
      </c>
      <c r="G99" s="13" t="s">
        <v>126</v>
      </c>
      <c r="H99" s="11" t="s">
        <v>127</v>
      </c>
      <c r="I99" s="11" t="s">
        <v>24</v>
      </c>
      <c r="J99" s="11" t="s">
        <v>25</v>
      </c>
      <c r="K99" s="11">
        <v>11</v>
      </c>
      <c r="L99" s="11" t="s">
        <v>56</v>
      </c>
      <c r="M99" s="11" t="s">
        <v>125</v>
      </c>
      <c r="N99" s="14" t="s">
        <v>97</v>
      </c>
    </row>
    <row r="100" spans="1:14" x14ac:dyDescent="0.2">
      <c r="A100" s="10"/>
      <c r="B100" s="11" t="s">
        <v>33</v>
      </c>
      <c r="C100" s="11" t="s">
        <v>34</v>
      </c>
      <c r="D100" s="11">
        <v>5</v>
      </c>
      <c r="E100" s="7" t="s">
        <v>199</v>
      </c>
      <c r="F100" s="13">
        <v>43308</v>
      </c>
      <c r="G100" s="13" t="s">
        <v>126</v>
      </c>
      <c r="H100" s="11" t="s">
        <v>127</v>
      </c>
      <c r="I100" s="11" t="s">
        <v>24</v>
      </c>
      <c r="J100" s="11" t="s">
        <v>25</v>
      </c>
      <c r="K100" s="11">
        <v>11</v>
      </c>
      <c r="L100" s="11" t="s">
        <v>56</v>
      </c>
      <c r="M100" s="11" t="s">
        <v>125</v>
      </c>
      <c r="N100" s="14" t="s">
        <v>35</v>
      </c>
    </row>
    <row r="101" spans="1:14" x14ac:dyDescent="0.2">
      <c r="A101" s="10"/>
      <c r="B101" s="11" t="s">
        <v>12</v>
      </c>
      <c r="C101" s="11" t="s">
        <v>38</v>
      </c>
      <c r="D101" s="11">
        <v>36</v>
      </c>
      <c r="E101" s="7" t="s">
        <v>199</v>
      </c>
      <c r="F101" s="13">
        <v>43308</v>
      </c>
      <c r="G101" s="13" t="s">
        <v>126</v>
      </c>
      <c r="H101" s="11" t="s">
        <v>127</v>
      </c>
      <c r="I101" s="11" t="s">
        <v>16</v>
      </c>
      <c r="J101" s="11" t="s">
        <v>17</v>
      </c>
      <c r="K101" s="11">
        <v>11</v>
      </c>
      <c r="L101" s="11" t="s">
        <v>56</v>
      </c>
      <c r="M101" s="11" t="s">
        <v>125</v>
      </c>
      <c r="N101" s="14" t="s">
        <v>39</v>
      </c>
    </row>
    <row r="102" spans="1:14" x14ac:dyDescent="0.2">
      <c r="A102" s="10"/>
      <c r="B102" s="11" t="s">
        <v>12</v>
      </c>
      <c r="C102" s="11" t="s">
        <v>19</v>
      </c>
      <c r="D102" s="11">
        <v>65</v>
      </c>
      <c r="E102" s="7" t="s">
        <v>199</v>
      </c>
      <c r="F102" s="13">
        <v>43308</v>
      </c>
      <c r="G102" s="13" t="s">
        <v>126</v>
      </c>
      <c r="H102" s="11" t="s">
        <v>127</v>
      </c>
      <c r="I102" s="11" t="s">
        <v>16</v>
      </c>
      <c r="J102" s="11" t="s">
        <v>17</v>
      </c>
      <c r="K102" s="11">
        <v>11</v>
      </c>
      <c r="L102" s="11" t="s">
        <v>56</v>
      </c>
      <c r="M102" s="11" t="s">
        <v>125</v>
      </c>
      <c r="N102" s="14" t="s">
        <v>20</v>
      </c>
    </row>
    <row r="103" spans="1:14" x14ac:dyDescent="0.2">
      <c r="A103" s="10"/>
      <c r="B103" s="11" t="s">
        <v>12</v>
      </c>
      <c r="C103" s="11" t="s">
        <v>40</v>
      </c>
      <c r="D103" s="11">
        <v>44</v>
      </c>
      <c r="E103" s="7" t="s">
        <v>199</v>
      </c>
      <c r="F103" s="13">
        <v>43308</v>
      </c>
      <c r="G103" s="13" t="s">
        <v>126</v>
      </c>
      <c r="H103" s="11" t="s">
        <v>127</v>
      </c>
      <c r="I103" s="11" t="s">
        <v>16</v>
      </c>
      <c r="J103" s="11" t="s">
        <v>17</v>
      </c>
      <c r="K103" s="11">
        <v>11</v>
      </c>
      <c r="L103" s="11" t="s">
        <v>56</v>
      </c>
      <c r="M103" s="11" t="s">
        <v>125</v>
      </c>
      <c r="N103" s="14" t="s">
        <v>41</v>
      </c>
    </row>
    <row r="104" spans="1:14" x14ac:dyDescent="0.2">
      <c r="A104" s="10"/>
      <c r="B104" s="11" t="s">
        <v>12</v>
      </c>
      <c r="C104" s="11" t="s">
        <v>42</v>
      </c>
      <c r="D104" s="11">
        <v>150</v>
      </c>
      <c r="E104" s="7" t="s">
        <v>199</v>
      </c>
      <c r="F104" s="13">
        <v>43308</v>
      </c>
      <c r="G104" s="13" t="s">
        <v>126</v>
      </c>
      <c r="H104" s="11" t="s">
        <v>127</v>
      </c>
      <c r="I104" s="11" t="s">
        <v>16</v>
      </c>
      <c r="J104" s="11" t="s">
        <v>17</v>
      </c>
      <c r="K104" s="11">
        <v>11</v>
      </c>
      <c r="L104" s="11" t="s">
        <v>56</v>
      </c>
      <c r="M104" s="11" t="s">
        <v>125</v>
      </c>
      <c r="N104" s="14" t="s">
        <v>43</v>
      </c>
    </row>
    <row r="105" spans="1:14" x14ac:dyDescent="0.2">
      <c r="A105" s="10"/>
      <c r="B105" s="11" t="s">
        <v>12</v>
      </c>
      <c r="C105" s="11" t="s">
        <v>19</v>
      </c>
      <c r="D105" s="11">
        <v>100</v>
      </c>
      <c r="E105" s="7" t="s">
        <v>199</v>
      </c>
      <c r="F105" s="13">
        <v>43308</v>
      </c>
      <c r="G105" s="13" t="s">
        <v>71</v>
      </c>
      <c r="H105" s="11" t="s">
        <v>178</v>
      </c>
      <c r="I105" s="11" t="s">
        <v>16</v>
      </c>
      <c r="J105" s="11" t="s">
        <v>17</v>
      </c>
      <c r="K105" s="11">
        <v>12</v>
      </c>
      <c r="L105" s="11" t="s">
        <v>56</v>
      </c>
      <c r="M105" s="11" t="s">
        <v>72</v>
      </c>
      <c r="N105" s="14" t="s">
        <v>20</v>
      </c>
    </row>
    <row r="106" spans="1:14" x14ac:dyDescent="0.2">
      <c r="A106" s="10"/>
      <c r="B106" s="11" t="s">
        <v>12</v>
      </c>
      <c r="C106" s="11" t="s">
        <v>40</v>
      </c>
      <c r="D106" s="11">
        <v>35</v>
      </c>
      <c r="E106" s="7" t="s">
        <v>199</v>
      </c>
      <c r="F106" s="13">
        <v>43308</v>
      </c>
      <c r="G106" s="13" t="s">
        <v>71</v>
      </c>
      <c r="H106" s="11" t="s">
        <v>178</v>
      </c>
      <c r="I106" s="11" t="s">
        <v>16</v>
      </c>
      <c r="J106" s="11" t="s">
        <v>17</v>
      </c>
      <c r="K106" s="11">
        <v>12</v>
      </c>
      <c r="L106" s="11" t="s">
        <v>56</v>
      </c>
      <c r="M106" s="11" t="s">
        <v>72</v>
      </c>
      <c r="N106" s="14" t="s">
        <v>41</v>
      </c>
    </row>
    <row r="107" spans="1:14" x14ac:dyDescent="0.2">
      <c r="A107" s="10"/>
      <c r="B107" s="11" t="s">
        <v>12</v>
      </c>
      <c r="C107" s="11" t="s">
        <v>51</v>
      </c>
      <c r="D107" s="11">
        <v>60</v>
      </c>
      <c r="E107" s="7" t="s">
        <v>199</v>
      </c>
      <c r="F107" s="13">
        <v>43308</v>
      </c>
      <c r="G107" s="13" t="s">
        <v>71</v>
      </c>
      <c r="H107" s="11" t="s">
        <v>178</v>
      </c>
      <c r="I107" s="11" t="s">
        <v>16</v>
      </c>
      <c r="J107" s="11" t="s">
        <v>17</v>
      </c>
      <c r="K107" s="11">
        <v>12</v>
      </c>
      <c r="L107" s="11" t="s">
        <v>56</v>
      </c>
      <c r="M107" s="11" t="s">
        <v>72</v>
      </c>
      <c r="N107" s="14" t="s">
        <v>52</v>
      </c>
    </row>
    <row r="108" spans="1:14" x14ac:dyDescent="0.2">
      <c r="A108" s="10"/>
      <c r="B108" s="11" t="s">
        <v>12</v>
      </c>
      <c r="C108" s="11" t="s">
        <v>42</v>
      </c>
      <c r="D108" s="11">
        <v>150</v>
      </c>
      <c r="E108" s="7" t="s">
        <v>199</v>
      </c>
      <c r="F108" s="13">
        <v>43308</v>
      </c>
      <c r="G108" s="13" t="s">
        <v>71</v>
      </c>
      <c r="H108" s="11" t="s">
        <v>178</v>
      </c>
      <c r="I108" s="11" t="s">
        <v>16</v>
      </c>
      <c r="J108" s="11" t="s">
        <v>17</v>
      </c>
      <c r="K108" s="11">
        <v>12</v>
      </c>
      <c r="L108" s="11" t="s">
        <v>56</v>
      </c>
      <c r="M108" s="11" t="s">
        <v>72</v>
      </c>
      <c r="N108" s="14" t="s">
        <v>43</v>
      </c>
    </row>
    <row r="109" spans="1:14" x14ac:dyDescent="0.2">
      <c r="A109" s="10"/>
      <c r="B109" s="11" t="s">
        <v>12</v>
      </c>
      <c r="C109" s="11" t="s">
        <v>38</v>
      </c>
      <c r="D109" s="11">
        <v>48</v>
      </c>
      <c r="E109" s="7" t="s">
        <v>199</v>
      </c>
      <c r="F109" s="13">
        <v>43308</v>
      </c>
      <c r="G109" s="13" t="s">
        <v>73</v>
      </c>
      <c r="H109" s="11" t="s">
        <v>74</v>
      </c>
      <c r="I109" s="11" t="s">
        <v>16</v>
      </c>
      <c r="J109" s="11" t="s">
        <v>17</v>
      </c>
      <c r="K109" s="11">
        <v>12</v>
      </c>
      <c r="L109" s="11" t="s">
        <v>56</v>
      </c>
      <c r="M109" s="11" t="s">
        <v>72</v>
      </c>
      <c r="N109" s="14" t="s">
        <v>39</v>
      </c>
    </row>
    <row r="110" spans="1:14" x14ac:dyDescent="0.2">
      <c r="A110" s="10"/>
      <c r="B110" s="11" t="s">
        <v>12</v>
      </c>
      <c r="C110" s="11" t="s">
        <v>19</v>
      </c>
      <c r="D110" s="11">
        <v>40</v>
      </c>
      <c r="E110" s="7" t="s">
        <v>199</v>
      </c>
      <c r="F110" s="13">
        <v>43308</v>
      </c>
      <c r="G110" s="13" t="s">
        <v>73</v>
      </c>
      <c r="H110" s="11" t="s">
        <v>74</v>
      </c>
      <c r="I110" s="11" t="s">
        <v>16</v>
      </c>
      <c r="J110" s="11" t="s">
        <v>17</v>
      </c>
      <c r="K110" s="11">
        <v>12</v>
      </c>
      <c r="L110" s="11" t="s">
        <v>56</v>
      </c>
      <c r="M110" s="11" t="s">
        <v>72</v>
      </c>
      <c r="N110" s="14" t="s">
        <v>20</v>
      </c>
    </row>
    <row r="111" spans="1:14" x14ac:dyDescent="0.2">
      <c r="A111" s="10"/>
      <c r="B111" s="11" t="s">
        <v>12</v>
      </c>
      <c r="C111" s="11" t="s">
        <v>40</v>
      </c>
      <c r="D111" s="11">
        <v>20</v>
      </c>
      <c r="E111" s="7" t="s">
        <v>199</v>
      </c>
      <c r="F111" s="13">
        <v>43308</v>
      </c>
      <c r="G111" s="13" t="s">
        <v>73</v>
      </c>
      <c r="H111" s="11" t="s">
        <v>74</v>
      </c>
      <c r="I111" s="11" t="s">
        <v>16</v>
      </c>
      <c r="J111" s="11" t="s">
        <v>17</v>
      </c>
      <c r="K111" s="11">
        <v>12</v>
      </c>
      <c r="L111" s="11" t="s">
        <v>56</v>
      </c>
      <c r="M111" s="11" t="s">
        <v>72</v>
      </c>
      <c r="N111" s="14" t="s">
        <v>41</v>
      </c>
    </row>
    <row r="112" spans="1:14" x14ac:dyDescent="0.2">
      <c r="A112" s="10"/>
      <c r="B112" s="11" t="s">
        <v>12</v>
      </c>
      <c r="C112" s="11" t="s">
        <v>42</v>
      </c>
      <c r="D112" s="11">
        <v>240</v>
      </c>
      <c r="E112" s="7" t="s">
        <v>199</v>
      </c>
      <c r="F112" s="13">
        <v>43308</v>
      </c>
      <c r="G112" s="13" t="s">
        <v>73</v>
      </c>
      <c r="H112" s="11" t="s">
        <v>74</v>
      </c>
      <c r="I112" s="11" t="s">
        <v>16</v>
      </c>
      <c r="J112" s="11" t="s">
        <v>17</v>
      </c>
      <c r="K112" s="11">
        <v>12</v>
      </c>
      <c r="L112" s="11" t="s">
        <v>56</v>
      </c>
      <c r="M112" s="11" t="s">
        <v>72</v>
      </c>
      <c r="N112" s="14" t="s">
        <v>43</v>
      </c>
    </row>
    <row r="113" spans="1:14" x14ac:dyDescent="0.2">
      <c r="A113" s="10"/>
      <c r="B113" s="11" t="s">
        <v>12</v>
      </c>
      <c r="C113" s="11" t="s">
        <v>21</v>
      </c>
      <c r="D113" s="11">
        <v>100</v>
      </c>
      <c r="E113" s="7" t="s">
        <v>199</v>
      </c>
      <c r="F113" s="13">
        <v>43308</v>
      </c>
      <c r="G113" s="13" t="s">
        <v>75</v>
      </c>
      <c r="H113" s="11" t="s">
        <v>160</v>
      </c>
      <c r="I113" s="11" t="s">
        <v>24</v>
      </c>
      <c r="J113" s="11" t="s">
        <v>25</v>
      </c>
      <c r="K113" s="11">
        <v>13</v>
      </c>
      <c r="L113" s="11" t="s">
        <v>196</v>
      </c>
      <c r="M113" s="11"/>
      <c r="N113" s="14" t="s">
        <v>26</v>
      </c>
    </row>
    <row r="114" spans="1:14" x14ac:dyDescent="0.2">
      <c r="A114" s="10"/>
      <c r="B114" s="11" t="s">
        <v>12</v>
      </c>
      <c r="C114" s="11" t="s">
        <v>13</v>
      </c>
      <c r="D114" s="11">
        <v>23</v>
      </c>
      <c r="E114" s="7" t="s">
        <v>199</v>
      </c>
      <c r="F114" s="13">
        <v>43308</v>
      </c>
      <c r="G114" s="13" t="s">
        <v>75</v>
      </c>
      <c r="H114" s="11" t="s">
        <v>160</v>
      </c>
      <c r="I114" s="11" t="s">
        <v>16</v>
      </c>
      <c r="J114" s="11" t="s">
        <v>17</v>
      </c>
      <c r="K114" s="11">
        <v>13</v>
      </c>
      <c r="L114" s="11" t="s">
        <v>196</v>
      </c>
      <c r="M114" s="11"/>
      <c r="N114" s="14" t="s">
        <v>18</v>
      </c>
    </row>
    <row r="115" spans="1:14" x14ac:dyDescent="0.2">
      <c r="A115" s="10"/>
      <c r="B115" s="11" t="s">
        <v>12</v>
      </c>
      <c r="C115" s="11" t="s">
        <v>19</v>
      </c>
      <c r="D115" s="11">
        <v>290</v>
      </c>
      <c r="E115" s="7" t="s">
        <v>199</v>
      </c>
      <c r="F115" s="13">
        <v>43308</v>
      </c>
      <c r="G115" s="13" t="s">
        <v>75</v>
      </c>
      <c r="H115" s="11" t="s">
        <v>160</v>
      </c>
      <c r="I115" s="11" t="s">
        <v>16</v>
      </c>
      <c r="J115" s="11" t="s">
        <v>17</v>
      </c>
      <c r="K115" s="11">
        <v>13</v>
      </c>
      <c r="L115" s="11" t="s">
        <v>196</v>
      </c>
      <c r="M115" s="11"/>
      <c r="N115" s="22" t="s">
        <v>20</v>
      </c>
    </row>
    <row r="116" spans="1:14" x14ac:dyDescent="0.2">
      <c r="A116" s="10"/>
      <c r="B116" s="11" t="s">
        <v>12</v>
      </c>
      <c r="C116" s="11" t="s">
        <v>80</v>
      </c>
      <c r="D116" s="11">
        <v>71</v>
      </c>
      <c r="E116" s="7" t="s">
        <v>199</v>
      </c>
      <c r="F116" s="13">
        <v>43308</v>
      </c>
      <c r="G116" s="13" t="s">
        <v>75</v>
      </c>
      <c r="H116" s="11" t="s">
        <v>160</v>
      </c>
      <c r="I116" s="11" t="s">
        <v>16</v>
      </c>
      <c r="J116" s="11" t="s">
        <v>17</v>
      </c>
      <c r="K116" s="11">
        <v>13</v>
      </c>
      <c r="L116" s="11" t="s">
        <v>196</v>
      </c>
      <c r="M116" s="11"/>
      <c r="N116" s="22" t="s">
        <v>82</v>
      </c>
    </row>
    <row r="117" spans="1:14" x14ac:dyDescent="0.2">
      <c r="A117" s="10"/>
      <c r="B117" s="11" t="s">
        <v>12</v>
      </c>
      <c r="C117" s="11" t="s">
        <v>19</v>
      </c>
      <c r="D117" s="11">
        <v>775</v>
      </c>
      <c r="E117" s="7" t="s">
        <v>199</v>
      </c>
      <c r="F117" s="13">
        <v>43308</v>
      </c>
      <c r="G117" s="13" t="s">
        <v>75</v>
      </c>
      <c r="H117" s="11" t="s">
        <v>160</v>
      </c>
      <c r="I117" s="11" t="s">
        <v>16</v>
      </c>
      <c r="J117" s="11" t="s">
        <v>17</v>
      </c>
      <c r="K117" s="11">
        <v>14</v>
      </c>
      <c r="L117" s="11" t="s">
        <v>56</v>
      </c>
      <c r="M117" s="11"/>
      <c r="N117" s="14" t="s">
        <v>20</v>
      </c>
    </row>
    <row r="118" spans="1:14" x14ac:dyDescent="0.2">
      <c r="A118" s="10"/>
      <c r="B118" s="11" t="s">
        <v>12</v>
      </c>
      <c r="C118" s="11" t="s">
        <v>19</v>
      </c>
      <c r="D118" s="11">
        <v>540</v>
      </c>
      <c r="E118" s="7" t="s">
        <v>199</v>
      </c>
      <c r="F118" s="13">
        <v>43308</v>
      </c>
      <c r="G118" s="13" t="s">
        <v>81</v>
      </c>
      <c r="H118" s="11" t="s">
        <v>161</v>
      </c>
      <c r="I118" s="11" t="s">
        <v>16</v>
      </c>
      <c r="J118" s="11" t="s">
        <v>17</v>
      </c>
      <c r="K118" s="11">
        <v>15</v>
      </c>
      <c r="L118" s="11" t="s">
        <v>196</v>
      </c>
      <c r="M118" s="11"/>
      <c r="N118" s="14" t="s">
        <v>20</v>
      </c>
    </row>
    <row r="119" spans="1:14" x14ac:dyDescent="0.2">
      <c r="A119" s="10"/>
      <c r="B119" s="11" t="s">
        <v>12</v>
      </c>
      <c r="C119" s="11" t="s">
        <v>21</v>
      </c>
      <c r="D119" s="11">
        <v>100</v>
      </c>
      <c r="E119" s="7" t="s">
        <v>199</v>
      </c>
      <c r="F119" s="13">
        <v>43308</v>
      </c>
      <c r="G119" s="13" t="s">
        <v>83</v>
      </c>
      <c r="H119" s="11" t="s">
        <v>84</v>
      </c>
      <c r="I119" s="11" t="s">
        <v>24</v>
      </c>
      <c r="J119" s="11" t="s">
        <v>25</v>
      </c>
      <c r="K119" s="11">
        <v>16</v>
      </c>
      <c r="L119" s="11" t="s">
        <v>196</v>
      </c>
      <c r="M119" s="11"/>
      <c r="N119" s="14" t="s">
        <v>26</v>
      </c>
    </row>
    <row r="120" spans="1:14" x14ac:dyDescent="0.2">
      <c r="A120" s="10"/>
      <c r="B120" s="11" t="s">
        <v>12</v>
      </c>
      <c r="C120" s="11" t="s">
        <v>44</v>
      </c>
      <c r="D120" s="11">
        <v>55</v>
      </c>
      <c r="E120" s="7" t="s">
        <v>199</v>
      </c>
      <c r="F120" s="13">
        <v>43308</v>
      </c>
      <c r="G120" s="13" t="s">
        <v>83</v>
      </c>
      <c r="H120" s="11" t="s">
        <v>84</v>
      </c>
      <c r="I120" s="11" t="s">
        <v>16</v>
      </c>
      <c r="J120" s="11" t="s">
        <v>17</v>
      </c>
      <c r="K120" s="11">
        <v>16</v>
      </c>
      <c r="L120" s="11" t="s">
        <v>196</v>
      </c>
      <c r="M120" s="11"/>
      <c r="N120" s="14" t="s">
        <v>45</v>
      </c>
    </row>
    <row r="121" spans="1:14" x14ac:dyDescent="0.2">
      <c r="A121" s="10"/>
      <c r="B121" s="11" t="s">
        <v>12</v>
      </c>
      <c r="C121" s="11" t="s">
        <v>13</v>
      </c>
      <c r="D121" s="11">
        <v>61</v>
      </c>
      <c r="E121" s="7" t="s">
        <v>199</v>
      </c>
      <c r="F121" s="13">
        <v>43308</v>
      </c>
      <c r="G121" s="13" t="s">
        <v>83</v>
      </c>
      <c r="H121" s="11" t="s">
        <v>84</v>
      </c>
      <c r="I121" s="11" t="s">
        <v>16</v>
      </c>
      <c r="J121" s="11" t="s">
        <v>17</v>
      </c>
      <c r="K121" s="11">
        <v>16</v>
      </c>
      <c r="L121" s="11" t="s">
        <v>196</v>
      </c>
      <c r="M121" s="11"/>
      <c r="N121" s="14" t="s">
        <v>18</v>
      </c>
    </row>
    <row r="122" spans="1:14" x14ac:dyDescent="0.2">
      <c r="A122" s="10"/>
      <c r="B122" s="11" t="s">
        <v>12</v>
      </c>
      <c r="C122" s="11" t="s">
        <v>19</v>
      </c>
      <c r="D122" s="11">
        <v>270</v>
      </c>
      <c r="E122" s="7" t="s">
        <v>199</v>
      </c>
      <c r="F122" s="13">
        <v>43308</v>
      </c>
      <c r="G122" s="13" t="s">
        <v>83</v>
      </c>
      <c r="H122" s="11" t="s">
        <v>84</v>
      </c>
      <c r="I122" s="11" t="s">
        <v>16</v>
      </c>
      <c r="J122" s="11" t="s">
        <v>17</v>
      </c>
      <c r="K122" s="11">
        <v>16</v>
      </c>
      <c r="L122" s="11" t="s">
        <v>196</v>
      </c>
      <c r="M122" s="11"/>
      <c r="N122" s="14" t="s">
        <v>20</v>
      </c>
    </row>
    <row r="123" spans="1:14" x14ac:dyDescent="0.2">
      <c r="A123" s="10"/>
      <c r="B123" s="11" t="s">
        <v>12</v>
      </c>
      <c r="C123" s="11" t="s">
        <v>19</v>
      </c>
      <c r="D123" s="11">
        <v>540</v>
      </c>
      <c r="E123" s="7" t="s">
        <v>199</v>
      </c>
      <c r="F123" s="13">
        <v>43308</v>
      </c>
      <c r="G123" s="13" t="s">
        <v>83</v>
      </c>
      <c r="H123" s="11" t="s">
        <v>84</v>
      </c>
      <c r="I123" s="11" t="s">
        <v>16</v>
      </c>
      <c r="J123" s="11" t="s">
        <v>17</v>
      </c>
      <c r="K123" s="11">
        <v>17</v>
      </c>
      <c r="L123" s="11" t="s">
        <v>196</v>
      </c>
      <c r="M123" s="11"/>
      <c r="N123" s="14" t="s">
        <v>20</v>
      </c>
    </row>
    <row r="124" spans="1:14" x14ac:dyDescent="0.2">
      <c r="A124" s="10"/>
      <c r="B124" s="11" t="s">
        <v>12</v>
      </c>
      <c r="C124" s="11" t="s">
        <v>21</v>
      </c>
      <c r="D124" s="11">
        <v>40</v>
      </c>
      <c r="E124" s="7" t="s">
        <v>199</v>
      </c>
      <c r="F124" s="13">
        <v>43308</v>
      </c>
      <c r="G124" s="13" t="s">
        <v>151</v>
      </c>
      <c r="H124" s="11" t="s">
        <v>164</v>
      </c>
      <c r="I124" s="11" t="s">
        <v>24</v>
      </c>
      <c r="J124" s="11" t="s">
        <v>25</v>
      </c>
      <c r="K124" s="11">
        <v>18</v>
      </c>
      <c r="L124" s="11" t="s">
        <v>198</v>
      </c>
      <c r="M124" s="11"/>
      <c r="N124" s="14" t="s">
        <v>26</v>
      </c>
    </row>
    <row r="125" spans="1:14" x14ac:dyDescent="0.2">
      <c r="A125" s="10"/>
      <c r="B125" s="11" t="s">
        <v>12</v>
      </c>
      <c r="C125" s="11" t="s">
        <v>27</v>
      </c>
      <c r="D125" s="11">
        <v>118</v>
      </c>
      <c r="E125" s="7" t="s">
        <v>199</v>
      </c>
      <c r="F125" s="13">
        <v>43308</v>
      </c>
      <c r="G125" s="13" t="s">
        <v>151</v>
      </c>
      <c r="H125" s="11" t="s">
        <v>164</v>
      </c>
      <c r="I125" s="11" t="s">
        <v>24</v>
      </c>
      <c r="J125" s="11" t="s">
        <v>25</v>
      </c>
      <c r="K125" s="11">
        <v>18</v>
      </c>
      <c r="L125" s="11" t="s">
        <v>198</v>
      </c>
      <c r="M125" s="11"/>
      <c r="N125" s="14" t="s">
        <v>28</v>
      </c>
    </row>
    <row r="126" spans="1:14" x14ac:dyDescent="0.2">
      <c r="A126" s="10"/>
      <c r="B126" s="11" t="s">
        <v>12</v>
      </c>
      <c r="C126" s="11" t="s">
        <v>13</v>
      </c>
      <c r="D126" s="11">
        <v>20</v>
      </c>
      <c r="E126" s="12" t="s">
        <v>199</v>
      </c>
      <c r="F126" s="13">
        <v>43308</v>
      </c>
      <c r="G126" s="13" t="s">
        <v>131</v>
      </c>
      <c r="H126" s="11" t="s">
        <v>165</v>
      </c>
      <c r="I126" s="11" t="s">
        <v>16</v>
      </c>
      <c r="J126" s="11" t="s">
        <v>17</v>
      </c>
      <c r="K126" s="11">
        <v>19</v>
      </c>
      <c r="L126" s="11" t="s">
        <v>196</v>
      </c>
      <c r="M126" s="11"/>
      <c r="N126" s="14" t="s">
        <v>18</v>
      </c>
    </row>
    <row r="127" spans="1:14" x14ac:dyDescent="0.2">
      <c r="A127" s="10"/>
      <c r="B127" s="11" t="s">
        <v>12</v>
      </c>
      <c r="C127" s="11" t="s">
        <v>19</v>
      </c>
      <c r="D127" s="11">
        <v>500</v>
      </c>
      <c r="E127" s="12" t="s">
        <v>199</v>
      </c>
      <c r="F127" s="13">
        <v>43308</v>
      </c>
      <c r="G127" s="13" t="s">
        <v>131</v>
      </c>
      <c r="H127" s="11" t="s">
        <v>165</v>
      </c>
      <c r="I127" s="11" t="s">
        <v>16</v>
      </c>
      <c r="J127" s="11" t="s">
        <v>17</v>
      </c>
      <c r="K127" s="11">
        <v>19</v>
      </c>
      <c r="L127" s="11" t="s">
        <v>196</v>
      </c>
      <c r="M127" s="11"/>
      <c r="N127" s="14" t="s">
        <v>20</v>
      </c>
    </row>
    <row r="128" spans="1:14" x14ac:dyDescent="0.2">
      <c r="A128" s="10"/>
      <c r="B128" s="11" t="s">
        <v>12</v>
      </c>
      <c r="C128" s="11" t="s">
        <v>13</v>
      </c>
      <c r="D128" s="11">
        <v>345</v>
      </c>
      <c r="E128" s="12" t="s">
        <v>199</v>
      </c>
      <c r="F128" s="13">
        <v>43308</v>
      </c>
      <c r="G128" s="13" t="s">
        <v>91</v>
      </c>
      <c r="H128" s="11" t="s">
        <v>166</v>
      </c>
      <c r="I128" s="11" t="s">
        <v>16</v>
      </c>
      <c r="J128" s="11" t="s">
        <v>17</v>
      </c>
      <c r="K128" s="11">
        <v>21</v>
      </c>
      <c r="L128" s="11" t="s">
        <v>56</v>
      </c>
      <c r="M128" s="11"/>
      <c r="N128" s="14" t="s">
        <v>18</v>
      </c>
    </row>
    <row r="129" spans="1:14" x14ac:dyDescent="0.2">
      <c r="A129" s="10"/>
      <c r="B129" s="11" t="s">
        <v>12</v>
      </c>
      <c r="C129" s="11" t="s">
        <v>19</v>
      </c>
      <c r="D129" s="11">
        <v>210</v>
      </c>
      <c r="E129" s="12" t="s">
        <v>199</v>
      </c>
      <c r="F129" s="13">
        <v>43308</v>
      </c>
      <c r="G129" s="13" t="s">
        <v>91</v>
      </c>
      <c r="H129" s="11" t="s">
        <v>166</v>
      </c>
      <c r="I129" s="11" t="s">
        <v>16</v>
      </c>
      <c r="J129" s="11" t="s">
        <v>17</v>
      </c>
      <c r="K129" s="11">
        <v>21</v>
      </c>
      <c r="L129" s="11" t="s">
        <v>56</v>
      </c>
      <c r="M129" s="11"/>
      <c r="N129" s="14" t="s">
        <v>20</v>
      </c>
    </row>
    <row r="130" spans="1:14" x14ac:dyDescent="0.2">
      <c r="A130" s="10"/>
      <c r="B130" s="11" t="s">
        <v>12</v>
      </c>
      <c r="C130" s="11" t="s">
        <v>13</v>
      </c>
      <c r="D130" s="11">
        <v>483</v>
      </c>
      <c r="E130" s="12" t="s">
        <v>199</v>
      </c>
      <c r="F130" s="13">
        <v>43308</v>
      </c>
      <c r="G130" s="13" t="s">
        <v>91</v>
      </c>
      <c r="H130" s="11" t="s">
        <v>166</v>
      </c>
      <c r="I130" s="11" t="s">
        <v>16</v>
      </c>
      <c r="J130" s="11" t="s">
        <v>17</v>
      </c>
      <c r="K130" s="11">
        <v>22</v>
      </c>
      <c r="L130" s="11" t="s">
        <v>56</v>
      </c>
      <c r="M130" s="11"/>
      <c r="N130" s="14" t="s">
        <v>18</v>
      </c>
    </row>
    <row r="131" spans="1:14" x14ac:dyDescent="0.2">
      <c r="A131" s="10"/>
      <c r="B131" s="11" t="s">
        <v>12</v>
      </c>
      <c r="C131" s="11" t="s">
        <v>13</v>
      </c>
      <c r="D131" s="11">
        <v>33</v>
      </c>
      <c r="E131" s="12" t="s">
        <v>199</v>
      </c>
      <c r="F131" s="13">
        <v>43308</v>
      </c>
      <c r="G131" s="13" t="s">
        <v>91</v>
      </c>
      <c r="H131" s="11" t="s">
        <v>166</v>
      </c>
      <c r="I131" s="11" t="s">
        <v>16</v>
      </c>
      <c r="J131" s="11" t="s">
        <v>17</v>
      </c>
      <c r="K131" s="11">
        <v>23</v>
      </c>
      <c r="L131" s="11" t="s">
        <v>196</v>
      </c>
      <c r="M131" s="11"/>
      <c r="N131" s="14" t="s">
        <v>18</v>
      </c>
    </row>
    <row r="132" spans="1:14" x14ac:dyDescent="0.2">
      <c r="A132" s="10"/>
      <c r="B132" s="11" t="s">
        <v>12</v>
      </c>
      <c r="C132" s="11" t="s">
        <v>19</v>
      </c>
      <c r="D132" s="11">
        <v>480</v>
      </c>
      <c r="E132" s="12" t="s">
        <v>199</v>
      </c>
      <c r="F132" s="13">
        <v>43308</v>
      </c>
      <c r="G132" s="13" t="s">
        <v>91</v>
      </c>
      <c r="H132" s="11" t="s">
        <v>166</v>
      </c>
      <c r="I132" s="11" t="s">
        <v>16</v>
      </c>
      <c r="J132" s="11" t="s">
        <v>17</v>
      </c>
      <c r="K132" s="11">
        <v>23</v>
      </c>
      <c r="L132" s="11" t="s">
        <v>196</v>
      </c>
      <c r="M132" s="11"/>
      <c r="N132" s="14" t="s">
        <v>20</v>
      </c>
    </row>
    <row r="133" spans="1:14" x14ac:dyDescent="0.2">
      <c r="A133" s="10"/>
      <c r="B133" s="11" t="s">
        <v>12</v>
      </c>
      <c r="C133" s="11" t="s">
        <v>44</v>
      </c>
      <c r="D133" s="11">
        <v>47</v>
      </c>
      <c r="E133" s="12" t="s">
        <v>199</v>
      </c>
      <c r="F133" s="13">
        <v>43308</v>
      </c>
      <c r="G133" s="13" t="s">
        <v>137</v>
      </c>
      <c r="H133" s="11" t="s">
        <v>185</v>
      </c>
      <c r="I133" s="11" t="s">
        <v>16</v>
      </c>
      <c r="J133" s="11" t="s">
        <v>17</v>
      </c>
      <c r="K133" s="11">
        <v>24</v>
      </c>
      <c r="L133" s="11" t="s">
        <v>56</v>
      </c>
      <c r="M133" s="11"/>
      <c r="N133" s="14" t="s">
        <v>45</v>
      </c>
    </row>
    <row r="134" spans="1:14" x14ac:dyDescent="0.2">
      <c r="A134" s="10"/>
      <c r="B134" s="11" t="s">
        <v>12</v>
      </c>
      <c r="C134" s="11" t="s">
        <v>13</v>
      </c>
      <c r="D134" s="11">
        <v>90</v>
      </c>
      <c r="E134" s="12" t="s">
        <v>199</v>
      </c>
      <c r="F134" s="13">
        <v>43308</v>
      </c>
      <c r="G134" s="13" t="s">
        <v>137</v>
      </c>
      <c r="H134" s="11" t="s">
        <v>185</v>
      </c>
      <c r="I134" s="11" t="s">
        <v>16</v>
      </c>
      <c r="J134" s="11" t="s">
        <v>17</v>
      </c>
      <c r="K134" s="11">
        <v>24</v>
      </c>
      <c r="L134" s="11" t="s">
        <v>56</v>
      </c>
      <c r="M134" s="11"/>
      <c r="N134" s="14" t="s">
        <v>18</v>
      </c>
    </row>
    <row r="135" spans="1:14" x14ac:dyDescent="0.2">
      <c r="A135" s="10"/>
      <c r="B135" s="11" t="s">
        <v>12</v>
      </c>
      <c r="C135" s="11" t="s">
        <v>19</v>
      </c>
      <c r="D135" s="11">
        <v>480</v>
      </c>
      <c r="E135" s="12" t="s">
        <v>199</v>
      </c>
      <c r="F135" s="13">
        <v>43308</v>
      </c>
      <c r="G135" s="13" t="s">
        <v>137</v>
      </c>
      <c r="H135" s="11" t="s">
        <v>185</v>
      </c>
      <c r="I135" s="11" t="s">
        <v>16</v>
      </c>
      <c r="J135" s="11" t="s">
        <v>17</v>
      </c>
      <c r="K135" s="11">
        <v>24</v>
      </c>
      <c r="L135" s="11" t="s">
        <v>56</v>
      </c>
      <c r="M135" s="11"/>
      <c r="N135" s="14" t="s">
        <v>20</v>
      </c>
    </row>
    <row r="136" spans="1:14" x14ac:dyDescent="0.2">
      <c r="A136" s="10"/>
      <c r="B136" s="11" t="s">
        <v>12</v>
      </c>
      <c r="C136" s="11" t="s">
        <v>57</v>
      </c>
      <c r="D136" s="11">
        <v>58</v>
      </c>
      <c r="E136" s="12" t="s">
        <v>199</v>
      </c>
      <c r="F136" s="13">
        <v>43308</v>
      </c>
      <c r="G136" s="13" t="s">
        <v>137</v>
      </c>
      <c r="H136" s="11" t="s">
        <v>185</v>
      </c>
      <c r="I136" s="11" t="s">
        <v>16</v>
      </c>
      <c r="J136" s="11" t="s">
        <v>17</v>
      </c>
      <c r="K136" s="11">
        <v>24</v>
      </c>
      <c r="L136" s="11" t="s">
        <v>56</v>
      </c>
      <c r="M136" s="11"/>
      <c r="N136" s="14" t="s">
        <v>58</v>
      </c>
    </row>
    <row r="137" spans="1:14" x14ac:dyDescent="0.2">
      <c r="A137" s="10"/>
      <c r="B137" s="11" t="s">
        <v>12</v>
      </c>
      <c r="C137" s="11" t="s">
        <v>29</v>
      </c>
      <c r="D137" s="11">
        <v>20</v>
      </c>
      <c r="E137" s="12" t="s">
        <v>199</v>
      </c>
      <c r="F137" s="13">
        <v>43308</v>
      </c>
      <c r="G137" s="13" t="s">
        <v>98</v>
      </c>
      <c r="H137" s="11" t="s">
        <v>158</v>
      </c>
      <c r="I137" s="11" t="s">
        <v>24</v>
      </c>
      <c r="J137" s="11" t="s">
        <v>25</v>
      </c>
      <c r="K137" s="11">
        <v>25</v>
      </c>
      <c r="L137" s="11" t="s">
        <v>56</v>
      </c>
      <c r="M137" s="11" t="s">
        <v>99</v>
      </c>
      <c r="N137" s="14" t="s">
        <v>30</v>
      </c>
    </row>
    <row r="138" spans="1:14" x14ac:dyDescent="0.2">
      <c r="A138" s="10"/>
      <c r="B138" s="11" t="s">
        <v>33</v>
      </c>
      <c r="C138" s="11" t="s">
        <v>34</v>
      </c>
      <c r="D138" s="11">
        <v>27</v>
      </c>
      <c r="E138" s="12" t="s">
        <v>199</v>
      </c>
      <c r="F138" s="13">
        <v>43308</v>
      </c>
      <c r="G138" s="13" t="s">
        <v>98</v>
      </c>
      <c r="H138" s="11" t="s">
        <v>158</v>
      </c>
      <c r="I138" s="11" t="s">
        <v>24</v>
      </c>
      <c r="J138" s="11" t="s">
        <v>25</v>
      </c>
      <c r="K138" s="11">
        <v>25</v>
      </c>
      <c r="L138" s="11" t="s">
        <v>56</v>
      </c>
      <c r="M138" s="11" t="s">
        <v>99</v>
      </c>
      <c r="N138" s="14" t="s">
        <v>35</v>
      </c>
    </row>
    <row r="139" spans="1:14" x14ac:dyDescent="0.2">
      <c r="A139" s="10"/>
      <c r="B139" s="11" t="s">
        <v>33</v>
      </c>
      <c r="C139" s="11" t="s">
        <v>36</v>
      </c>
      <c r="D139" s="11">
        <v>26</v>
      </c>
      <c r="E139" s="12" t="s">
        <v>199</v>
      </c>
      <c r="F139" s="13">
        <v>43308</v>
      </c>
      <c r="G139" s="13" t="s">
        <v>98</v>
      </c>
      <c r="H139" s="11" t="s">
        <v>158</v>
      </c>
      <c r="I139" s="11" t="s">
        <v>24</v>
      </c>
      <c r="J139" s="11" t="s">
        <v>25</v>
      </c>
      <c r="K139" s="11">
        <v>25</v>
      </c>
      <c r="L139" s="11" t="s">
        <v>56</v>
      </c>
      <c r="M139" s="11" t="s">
        <v>99</v>
      </c>
      <c r="N139" s="14" t="s">
        <v>37</v>
      </c>
    </row>
    <row r="140" spans="1:14" x14ac:dyDescent="0.2">
      <c r="A140" s="10"/>
      <c r="B140" s="11" t="s">
        <v>12</v>
      </c>
      <c r="C140" s="11" t="s">
        <v>44</v>
      </c>
      <c r="D140" s="11">
        <v>20</v>
      </c>
      <c r="E140" s="12" t="s">
        <v>199</v>
      </c>
      <c r="F140" s="13">
        <v>43308</v>
      </c>
      <c r="G140" s="13" t="s">
        <v>98</v>
      </c>
      <c r="H140" s="11" t="s">
        <v>158</v>
      </c>
      <c r="I140" s="11" t="s">
        <v>16</v>
      </c>
      <c r="J140" s="11" t="s">
        <v>17</v>
      </c>
      <c r="K140" s="11">
        <v>25</v>
      </c>
      <c r="L140" s="11" t="s">
        <v>56</v>
      </c>
      <c r="M140" s="11" t="s">
        <v>99</v>
      </c>
      <c r="N140" s="14" t="s">
        <v>45</v>
      </c>
    </row>
    <row r="141" spans="1:14" x14ac:dyDescent="0.2">
      <c r="A141" s="10"/>
      <c r="B141" s="11" t="s">
        <v>12</v>
      </c>
      <c r="C141" s="11" t="s">
        <v>13</v>
      </c>
      <c r="D141" s="11">
        <v>170</v>
      </c>
      <c r="E141" s="12" t="s">
        <v>199</v>
      </c>
      <c r="F141" s="13">
        <v>43308</v>
      </c>
      <c r="G141" s="13" t="s">
        <v>98</v>
      </c>
      <c r="H141" s="11" t="s">
        <v>158</v>
      </c>
      <c r="I141" s="11" t="s">
        <v>16</v>
      </c>
      <c r="J141" s="11" t="s">
        <v>17</v>
      </c>
      <c r="K141" s="11">
        <v>25</v>
      </c>
      <c r="L141" s="11" t="s">
        <v>56</v>
      </c>
      <c r="M141" s="11" t="s">
        <v>99</v>
      </c>
      <c r="N141" s="14" t="s">
        <v>18</v>
      </c>
    </row>
    <row r="142" spans="1:14" x14ac:dyDescent="0.2">
      <c r="A142" s="10"/>
      <c r="B142" s="11" t="s">
        <v>12</v>
      </c>
      <c r="C142" s="11" t="s">
        <v>19</v>
      </c>
      <c r="D142" s="11">
        <v>20</v>
      </c>
      <c r="E142" s="12" t="s">
        <v>199</v>
      </c>
      <c r="F142" s="13">
        <v>43308</v>
      </c>
      <c r="G142" s="13" t="s">
        <v>98</v>
      </c>
      <c r="H142" s="11" t="s">
        <v>158</v>
      </c>
      <c r="I142" s="11" t="s">
        <v>16</v>
      </c>
      <c r="J142" s="11" t="s">
        <v>17</v>
      </c>
      <c r="K142" s="11">
        <v>25</v>
      </c>
      <c r="L142" s="11" t="s">
        <v>56</v>
      </c>
      <c r="M142" s="11" t="s">
        <v>99</v>
      </c>
      <c r="N142" s="14" t="s">
        <v>20</v>
      </c>
    </row>
    <row r="143" spans="1:14" x14ac:dyDescent="0.2">
      <c r="A143" s="10"/>
      <c r="B143" s="11" t="s">
        <v>33</v>
      </c>
      <c r="C143" s="11" t="s">
        <v>34</v>
      </c>
      <c r="D143" s="11">
        <v>34</v>
      </c>
      <c r="E143" s="12" t="s">
        <v>199</v>
      </c>
      <c r="F143" s="13">
        <v>43308</v>
      </c>
      <c r="G143" s="13" t="s">
        <v>100</v>
      </c>
      <c r="H143" s="11" t="s">
        <v>101</v>
      </c>
      <c r="I143" s="11" t="s">
        <v>24</v>
      </c>
      <c r="J143" s="11" t="s">
        <v>25</v>
      </c>
      <c r="K143" s="11">
        <v>25</v>
      </c>
      <c r="L143" s="11" t="s">
        <v>56</v>
      </c>
      <c r="M143" s="11" t="s">
        <v>99</v>
      </c>
      <c r="N143" s="14" t="s">
        <v>35</v>
      </c>
    </row>
    <row r="144" spans="1:14" x14ac:dyDescent="0.2">
      <c r="A144" s="10"/>
      <c r="B144" s="11" t="s">
        <v>33</v>
      </c>
      <c r="C144" s="11" t="s">
        <v>53</v>
      </c>
      <c r="D144" s="11">
        <v>10</v>
      </c>
      <c r="E144" s="12" t="s">
        <v>199</v>
      </c>
      <c r="F144" s="13">
        <v>43308</v>
      </c>
      <c r="G144" s="13" t="s">
        <v>100</v>
      </c>
      <c r="H144" s="11" t="s">
        <v>101</v>
      </c>
      <c r="I144" s="11" t="s">
        <v>24</v>
      </c>
      <c r="J144" s="11" t="s">
        <v>25</v>
      </c>
      <c r="K144" s="11">
        <v>25</v>
      </c>
      <c r="L144" s="11" t="s">
        <v>56</v>
      </c>
      <c r="M144" s="11" t="s">
        <v>99</v>
      </c>
      <c r="N144" s="14" t="s">
        <v>54</v>
      </c>
    </row>
    <row r="145" spans="1:14" x14ac:dyDescent="0.2">
      <c r="A145" s="10"/>
      <c r="B145" s="11" t="s">
        <v>12</v>
      </c>
      <c r="C145" s="11" t="s">
        <v>44</v>
      </c>
      <c r="D145" s="11">
        <v>12</v>
      </c>
      <c r="E145" s="12" t="s">
        <v>199</v>
      </c>
      <c r="F145" s="13">
        <v>43308</v>
      </c>
      <c r="G145" s="13" t="s">
        <v>100</v>
      </c>
      <c r="H145" s="11" t="s">
        <v>101</v>
      </c>
      <c r="I145" s="11" t="s">
        <v>16</v>
      </c>
      <c r="J145" s="11" t="s">
        <v>17</v>
      </c>
      <c r="K145" s="11">
        <v>25</v>
      </c>
      <c r="L145" s="11" t="s">
        <v>56</v>
      </c>
      <c r="M145" s="11" t="s">
        <v>99</v>
      </c>
      <c r="N145" s="14" t="s">
        <v>45</v>
      </c>
    </row>
    <row r="146" spans="1:14" x14ac:dyDescent="0.2">
      <c r="A146" s="10"/>
      <c r="B146" s="11" t="s">
        <v>12</v>
      </c>
      <c r="C146" s="11" t="s">
        <v>13</v>
      </c>
      <c r="D146" s="11">
        <v>75</v>
      </c>
      <c r="E146" s="12" t="s">
        <v>199</v>
      </c>
      <c r="F146" s="13">
        <v>43308</v>
      </c>
      <c r="G146" s="13" t="s">
        <v>100</v>
      </c>
      <c r="H146" s="11" t="s">
        <v>101</v>
      </c>
      <c r="I146" s="11" t="s">
        <v>16</v>
      </c>
      <c r="J146" s="11" t="s">
        <v>17</v>
      </c>
      <c r="K146" s="11">
        <v>25</v>
      </c>
      <c r="L146" s="11" t="s">
        <v>56</v>
      </c>
      <c r="M146" s="11" t="s">
        <v>99</v>
      </c>
      <c r="N146" s="14" t="s">
        <v>18</v>
      </c>
    </row>
    <row r="147" spans="1:14" x14ac:dyDescent="0.2">
      <c r="A147" s="10"/>
      <c r="B147" s="11" t="s">
        <v>12</v>
      </c>
      <c r="C147" s="11" t="s">
        <v>19</v>
      </c>
      <c r="D147" s="11">
        <v>182</v>
      </c>
      <c r="E147" s="12" t="s">
        <v>199</v>
      </c>
      <c r="F147" s="13">
        <v>43308</v>
      </c>
      <c r="G147" s="13" t="s">
        <v>100</v>
      </c>
      <c r="H147" s="11" t="s">
        <v>101</v>
      </c>
      <c r="I147" s="11" t="s">
        <v>16</v>
      </c>
      <c r="J147" s="11" t="s">
        <v>17</v>
      </c>
      <c r="K147" s="11">
        <v>25</v>
      </c>
      <c r="L147" s="11" t="s">
        <v>56</v>
      </c>
      <c r="M147" s="11" t="s">
        <v>99</v>
      </c>
      <c r="N147" s="14" t="s">
        <v>20</v>
      </c>
    </row>
    <row r="148" spans="1:14" x14ac:dyDescent="0.2">
      <c r="A148" s="10"/>
      <c r="B148" s="11" t="s">
        <v>12</v>
      </c>
      <c r="C148" s="11" t="s">
        <v>13</v>
      </c>
      <c r="D148" s="11">
        <v>30</v>
      </c>
      <c r="E148" s="12" t="s">
        <v>199</v>
      </c>
      <c r="F148" s="13">
        <v>43308</v>
      </c>
      <c r="G148" s="13" t="s">
        <v>98</v>
      </c>
      <c r="H148" s="11" t="s">
        <v>158</v>
      </c>
      <c r="I148" s="11" t="s">
        <v>16</v>
      </c>
      <c r="J148" s="11" t="s">
        <v>17</v>
      </c>
      <c r="K148" s="11">
        <v>26</v>
      </c>
      <c r="L148" s="11" t="s">
        <v>196</v>
      </c>
      <c r="M148" s="11"/>
      <c r="N148" s="14" t="s">
        <v>18</v>
      </c>
    </row>
    <row r="149" spans="1:14" x14ac:dyDescent="0.2">
      <c r="A149" s="10"/>
      <c r="B149" s="11" t="s">
        <v>12</v>
      </c>
      <c r="C149" s="11" t="s">
        <v>19</v>
      </c>
      <c r="D149" s="11">
        <v>490</v>
      </c>
      <c r="E149" s="12" t="s">
        <v>199</v>
      </c>
      <c r="F149" s="13">
        <v>43308</v>
      </c>
      <c r="G149" s="13" t="s">
        <v>98</v>
      </c>
      <c r="H149" s="11" t="s">
        <v>158</v>
      </c>
      <c r="I149" s="11" t="s">
        <v>16</v>
      </c>
      <c r="J149" s="11" t="s">
        <v>17</v>
      </c>
      <c r="K149" s="11">
        <v>26</v>
      </c>
      <c r="L149" s="11" t="s">
        <v>196</v>
      </c>
      <c r="M149" s="11"/>
      <c r="N149" s="14" t="s">
        <v>20</v>
      </c>
    </row>
    <row r="150" spans="1:14" x14ac:dyDescent="0.2">
      <c r="A150" s="10"/>
      <c r="B150" s="11" t="s">
        <v>33</v>
      </c>
      <c r="C150" s="11" t="s">
        <v>34</v>
      </c>
      <c r="D150" s="11">
        <v>29</v>
      </c>
      <c r="E150" s="12" t="s">
        <v>199</v>
      </c>
      <c r="F150" s="13">
        <v>43308</v>
      </c>
      <c r="G150" s="13" t="s">
        <v>102</v>
      </c>
      <c r="H150" s="11" t="s">
        <v>186</v>
      </c>
      <c r="I150" s="11" t="s">
        <v>24</v>
      </c>
      <c r="J150" s="11" t="s">
        <v>25</v>
      </c>
      <c r="K150" s="11">
        <v>27</v>
      </c>
      <c r="L150" s="11" t="s">
        <v>56</v>
      </c>
      <c r="M150" s="11" t="s">
        <v>103</v>
      </c>
      <c r="N150" s="14" t="s">
        <v>35</v>
      </c>
    </row>
    <row r="151" spans="1:14" x14ac:dyDescent="0.2">
      <c r="A151" s="10"/>
      <c r="B151" s="11" t="s">
        <v>33</v>
      </c>
      <c r="C151" s="11" t="s">
        <v>36</v>
      </c>
      <c r="D151" s="11">
        <v>10</v>
      </c>
      <c r="E151" s="12" t="s">
        <v>199</v>
      </c>
      <c r="F151" s="13">
        <v>43308</v>
      </c>
      <c r="G151" s="13" t="s">
        <v>102</v>
      </c>
      <c r="H151" s="11" t="s">
        <v>186</v>
      </c>
      <c r="I151" s="11" t="s">
        <v>24</v>
      </c>
      <c r="J151" s="11" t="s">
        <v>25</v>
      </c>
      <c r="K151" s="11">
        <v>27</v>
      </c>
      <c r="L151" s="11" t="s">
        <v>56</v>
      </c>
      <c r="M151" s="11" t="s">
        <v>103</v>
      </c>
      <c r="N151" s="14" t="s">
        <v>37</v>
      </c>
    </row>
    <row r="152" spans="1:14" x14ac:dyDescent="0.2">
      <c r="A152" s="10"/>
      <c r="B152" s="11" t="s">
        <v>33</v>
      </c>
      <c r="C152" s="11" t="s">
        <v>53</v>
      </c>
      <c r="D152" s="11">
        <v>2</v>
      </c>
      <c r="E152" s="12" t="s">
        <v>199</v>
      </c>
      <c r="F152" s="13">
        <v>43308</v>
      </c>
      <c r="G152" s="13" t="s">
        <v>102</v>
      </c>
      <c r="H152" s="11" t="s">
        <v>186</v>
      </c>
      <c r="I152" s="11" t="s">
        <v>24</v>
      </c>
      <c r="J152" s="11" t="s">
        <v>25</v>
      </c>
      <c r="K152" s="11">
        <v>27</v>
      </c>
      <c r="L152" s="11" t="s">
        <v>56</v>
      </c>
      <c r="M152" s="11" t="s">
        <v>103</v>
      </c>
      <c r="N152" s="14" t="s">
        <v>54</v>
      </c>
    </row>
    <row r="153" spans="1:14" x14ac:dyDescent="0.2">
      <c r="A153" s="10"/>
      <c r="B153" s="11" t="s">
        <v>12</v>
      </c>
      <c r="C153" s="11" t="s">
        <v>13</v>
      </c>
      <c r="D153" s="11">
        <v>207</v>
      </c>
      <c r="E153" s="12" t="s">
        <v>199</v>
      </c>
      <c r="F153" s="13">
        <v>43308</v>
      </c>
      <c r="G153" s="13" t="s">
        <v>102</v>
      </c>
      <c r="H153" s="11" t="s">
        <v>186</v>
      </c>
      <c r="I153" s="11" t="s">
        <v>16</v>
      </c>
      <c r="J153" s="11" t="s">
        <v>17</v>
      </c>
      <c r="K153" s="11">
        <v>27</v>
      </c>
      <c r="L153" s="11" t="s">
        <v>56</v>
      </c>
      <c r="M153" s="11" t="s">
        <v>103</v>
      </c>
      <c r="N153" s="14" t="s">
        <v>18</v>
      </c>
    </row>
    <row r="154" spans="1:14" x14ac:dyDescent="0.2">
      <c r="A154" s="10"/>
      <c r="B154" s="11" t="s">
        <v>12</v>
      </c>
      <c r="C154" s="11" t="s">
        <v>19</v>
      </c>
      <c r="D154" s="11">
        <v>200</v>
      </c>
      <c r="E154" s="12" t="s">
        <v>199</v>
      </c>
      <c r="F154" s="13">
        <v>43308</v>
      </c>
      <c r="G154" s="13" t="s">
        <v>102</v>
      </c>
      <c r="H154" s="11" t="s">
        <v>186</v>
      </c>
      <c r="I154" s="11" t="s">
        <v>16</v>
      </c>
      <c r="J154" s="11" t="s">
        <v>17</v>
      </c>
      <c r="K154" s="11">
        <v>27</v>
      </c>
      <c r="L154" s="11" t="s">
        <v>56</v>
      </c>
      <c r="M154" s="11" t="s">
        <v>103</v>
      </c>
      <c r="N154" s="14" t="s">
        <v>20</v>
      </c>
    </row>
    <row r="155" spans="1:14" x14ac:dyDescent="0.2">
      <c r="A155" s="10"/>
      <c r="B155" s="11" t="s">
        <v>33</v>
      </c>
      <c r="C155" s="11" t="s">
        <v>34</v>
      </c>
      <c r="D155" s="11">
        <v>45</v>
      </c>
      <c r="E155" s="12" t="s">
        <v>199</v>
      </c>
      <c r="F155" s="13">
        <v>43308</v>
      </c>
      <c r="G155" s="13" t="s">
        <v>104</v>
      </c>
      <c r="H155" s="11" t="s">
        <v>157</v>
      </c>
      <c r="I155" s="11" t="s">
        <v>24</v>
      </c>
      <c r="J155" s="11" t="s">
        <v>25</v>
      </c>
      <c r="K155" s="11">
        <v>27</v>
      </c>
      <c r="L155" s="11" t="s">
        <v>56</v>
      </c>
      <c r="M155" s="11" t="s">
        <v>103</v>
      </c>
      <c r="N155" s="14" t="s">
        <v>35</v>
      </c>
    </row>
    <row r="156" spans="1:14" x14ac:dyDescent="0.2">
      <c r="A156" s="10"/>
      <c r="B156" s="11" t="s">
        <v>33</v>
      </c>
      <c r="C156" s="11" t="s">
        <v>36</v>
      </c>
      <c r="D156" s="11">
        <v>18</v>
      </c>
      <c r="E156" s="12" t="s">
        <v>199</v>
      </c>
      <c r="F156" s="13">
        <v>43308</v>
      </c>
      <c r="G156" s="13" t="s">
        <v>104</v>
      </c>
      <c r="H156" s="11" t="s">
        <v>157</v>
      </c>
      <c r="I156" s="11" t="s">
        <v>24</v>
      </c>
      <c r="J156" s="11" t="s">
        <v>25</v>
      </c>
      <c r="K156" s="11">
        <v>27</v>
      </c>
      <c r="L156" s="11" t="s">
        <v>56</v>
      </c>
      <c r="M156" s="11" t="s">
        <v>103</v>
      </c>
      <c r="N156" s="14" t="s">
        <v>37</v>
      </c>
    </row>
    <row r="157" spans="1:14" x14ac:dyDescent="0.2">
      <c r="A157" s="10"/>
      <c r="B157" s="11" t="s">
        <v>33</v>
      </c>
      <c r="C157" s="11" t="s">
        <v>53</v>
      </c>
      <c r="D157" s="11">
        <v>7</v>
      </c>
      <c r="E157" s="12" t="s">
        <v>199</v>
      </c>
      <c r="F157" s="13">
        <v>43308</v>
      </c>
      <c r="G157" s="13" t="s">
        <v>104</v>
      </c>
      <c r="H157" s="11" t="s">
        <v>157</v>
      </c>
      <c r="I157" s="11" t="s">
        <v>24</v>
      </c>
      <c r="J157" s="11" t="s">
        <v>25</v>
      </c>
      <c r="K157" s="11">
        <v>27</v>
      </c>
      <c r="L157" s="11" t="s">
        <v>56</v>
      </c>
      <c r="M157" s="11" t="s">
        <v>103</v>
      </c>
      <c r="N157" s="14" t="s">
        <v>54</v>
      </c>
    </row>
    <row r="158" spans="1:14" x14ac:dyDescent="0.2">
      <c r="A158" s="10"/>
      <c r="B158" s="11" t="s">
        <v>12</v>
      </c>
      <c r="C158" s="11" t="s">
        <v>19</v>
      </c>
      <c r="D158" s="11">
        <v>90</v>
      </c>
      <c r="E158" s="12" t="s">
        <v>199</v>
      </c>
      <c r="F158" s="13">
        <v>43308</v>
      </c>
      <c r="G158" s="13" t="s">
        <v>104</v>
      </c>
      <c r="H158" s="11" t="s">
        <v>157</v>
      </c>
      <c r="I158" s="11" t="s">
        <v>16</v>
      </c>
      <c r="J158" s="11" t="s">
        <v>17</v>
      </c>
      <c r="K158" s="11">
        <v>27</v>
      </c>
      <c r="L158" s="11" t="s">
        <v>56</v>
      </c>
      <c r="M158" s="11" t="s">
        <v>103</v>
      </c>
      <c r="N158" s="14" t="s">
        <v>20</v>
      </c>
    </row>
    <row r="159" spans="1:14" x14ac:dyDescent="0.2">
      <c r="A159" s="10"/>
      <c r="B159" s="11" t="s">
        <v>12</v>
      </c>
      <c r="C159" s="11" t="s">
        <v>13</v>
      </c>
      <c r="D159" s="11">
        <v>100</v>
      </c>
      <c r="E159" s="12" t="s">
        <v>199</v>
      </c>
      <c r="F159" s="13">
        <v>43308</v>
      </c>
      <c r="G159" s="13" t="s">
        <v>104</v>
      </c>
      <c r="H159" s="11" t="s">
        <v>157</v>
      </c>
      <c r="I159" s="11" t="s">
        <v>16</v>
      </c>
      <c r="J159" s="11" t="s">
        <v>17</v>
      </c>
      <c r="K159" s="11">
        <v>28</v>
      </c>
      <c r="L159" s="11" t="s">
        <v>196</v>
      </c>
      <c r="M159" s="11"/>
      <c r="N159" s="14" t="s">
        <v>18</v>
      </c>
    </row>
    <row r="160" spans="1:14" x14ac:dyDescent="0.2">
      <c r="A160" s="10"/>
      <c r="B160" s="11" t="s">
        <v>12</v>
      </c>
      <c r="C160" s="11" t="s">
        <v>19</v>
      </c>
      <c r="D160" s="11">
        <v>380</v>
      </c>
      <c r="E160" s="12" t="s">
        <v>199</v>
      </c>
      <c r="F160" s="13">
        <v>43308</v>
      </c>
      <c r="G160" s="13" t="s">
        <v>104</v>
      </c>
      <c r="H160" s="11" t="s">
        <v>157</v>
      </c>
      <c r="I160" s="11" t="s">
        <v>16</v>
      </c>
      <c r="J160" s="11" t="s">
        <v>17</v>
      </c>
      <c r="K160" s="11">
        <v>28</v>
      </c>
      <c r="L160" s="11" t="s">
        <v>196</v>
      </c>
      <c r="M160" s="11"/>
      <c r="N160" s="14" t="s">
        <v>20</v>
      </c>
    </row>
    <row r="161" spans="1:14" x14ac:dyDescent="0.2">
      <c r="A161" s="10"/>
      <c r="B161" s="11" t="s">
        <v>33</v>
      </c>
      <c r="C161" s="11" t="s">
        <v>34</v>
      </c>
      <c r="D161" s="11">
        <v>58</v>
      </c>
      <c r="E161" s="12" t="s">
        <v>199</v>
      </c>
      <c r="F161" s="13">
        <v>43308</v>
      </c>
      <c r="G161" s="13" t="s">
        <v>138</v>
      </c>
      <c r="H161" s="11" t="s">
        <v>187</v>
      </c>
      <c r="I161" s="11" t="s">
        <v>24</v>
      </c>
      <c r="J161" s="11" t="s">
        <v>25</v>
      </c>
      <c r="K161" s="11">
        <v>29</v>
      </c>
      <c r="L161" s="11" t="s">
        <v>196</v>
      </c>
      <c r="M161" s="11" t="s">
        <v>139</v>
      </c>
      <c r="N161" s="14" t="s">
        <v>35</v>
      </c>
    </row>
    <row r="162" spans="1:14" x14ac:dyDescent="0.2">
      <c r="A162" s="10"/>
      <c r="B162" s="11" t="s">
        <v>33</v>
      </c>
      <c r="C162" s="11" t="s">
        <v>36</v>
      </c>
      <c r="D162" s="11">
        <v>10</v>
      </c>
      <c r="E162" s="12" t="s">
        <v>199</v>
      </c>
      <c r="F162" s="13">
        <v>43308</v>
      </c>
      <c r="G162" s="13" t="s">
        <v>138</v>
      </c>
      <c r="H162" s="11" t="s">
        <v>187</v>
      </c>
      <c r="I162" s="11" t="s">
        <v>24</v>
      </c>
      <c r="J162" s="11" t="s">
        <v>25</v>
      </c>
      <c r="K162" s="11">
        <v>29</v>
      </c>
      <c r="L162" s="11" t="s">
        <v>196</v>
      </c>
      <c r="M162" s="11" t="s">
        <v>139</v>
      </c>
      <c r="N162" s="14" t="s">
        <v>37</v>
      </c>
    </row>
    <row r="163" spans="1:14" x14ac:dyDescent="0.2">
      <c r="A163" s="10"/>
      <c r="B163" s="11" t="s">
        <v>12</v>
      </c>
      <c r="C163" s="11" t="s">
        <v>13</v>
      </c>
      <c r="D163" s="11">
        <v>20</v>
      </c>
      <c r="E163" s="12" t="s">
        <v>199</v>
      </c>
      <c r="F163" s="13">
        <v>43308</v>
      </c>
      <c r="G163" s="13" t="s">
        <v>138</v>
      </c>
      <c r="H163" s="11" t="s">
        <v>187</v>
      </c>
      <c r="I163" s="11" t="s">
        <v>16</v>
      </c>
      <c r="J163" s="11" t="s">
        <v>17</v>
      </c>
      <c r="K163" s="11">
        <v>29</v>
      </c>
      <c r="L163" s="11" t="s">
        <v>196</v>
      </c>
      <c r="M163" s="11" t="s">
        <v>139</v>
      </c>
      <c r="N163" s="14" t="s">
        <v>18</v>
      </c>
    </row>
    <row r="164" spans="1:14" x14ac:dyDescent="0.2">
      <c r="A164" s="10"/>
      <c r="B164" s="11" t="s">
        <v>12</v>
      </c>
      <c r="C164" s="11" t="s">
        <v>19</v>
      </c>
      <c r="D164" s="11">
        <v>60</v>
      </c>
      <c r="E164" s="12" t="s">
        <v>199</v>
      </c>
      <c r="F164" s="13">
        <v>43308</v>
      </c>
      <c r="G164" s="13" t="s">
        <v>138</v>
      </c>
      <c r="H164" s="11" t="s">
        <v>187</v>
      </c>
      <c r="I164" s="11" t="s">
        <v>16</v>
      </c>
      <c r="J164" s="11" t="s">
        <v>17</v>
      </c>
      <c r="K164" s="11">
        <v>29</v>
      </c>
      <c r="L164" s="11" t="s">
        <v>196</v>
      </c>
      <c r="M164" s="11" t="s">
        <v>139</v>
      </c>
      <c r="N164" s="14" t="s">
        <v>20</v>
      </c>
    </row>
    <row r="165" spans="1:14" x14ac:dyDescent="0.2">
      <c r="A165" s="10"/>
      <c r="B165" s="11" t="s">
        <v>12</v>
      </c>
      <c r="C165" s="11" t="s">
        <v>80</v>
      </c>
      <c r="D165" s="11">
        <v>25</v>
      </c>
      <c r="E165" s="12" t="s">
        <v>199</v>
      </c>
      <c r="F165" s="13">
        <v>43308</v>
      </c>
      <c r="G165" s="13" t="s">
        <v>138</v>
      </c>
      <c r="H165" s="11" t="s">
        <v>187</v>
      </c>
      <c r="I165" s="11" t="s">
        <v>16</v>
      </c>
      <c r="J165" s="11" t="s">
        <v>17</v>
      </c>
      <c r="K165" s="11">
        <v>29</v>
      </c>
      <c r="L165" s="11" t="s">
        <v>196</v>
      </c>
      <c r="M165" s="11" t="s">
        <v>139</v>
      </c>
      <c r="N165" s="14" t="s">
        <v>82</v>
      </c>
    </row>
    <row r="166" spans="1:14" x14ac:dyDescent="0.2">
      <c r="A166" s="10"/>
      <c r="B166" s="11" t="s">
        <v>33</v>
      </c>
      <c r="C166" s="11" t="s">
        <v>36</v>
      </c>
      <c r="D166" s="11">
        <v>5</v>
      </c>
      <c r="E166" s="12" t="s">
        <v>199</v>
      </c>
      <c r="F166" s="13">
        <v>43308</v>
      </c>
      <c r="G166" s="13" t="s">
        <v>140</v>
      </c>
      <c r="H166" s="11" t="s">
        <v>141</v>
      </c>
      <c r="I166" s="11" t="s">
        <v>24</v>
      </c>
      <c r="J166" s="11" t="s">
        <v>25</v>
      </c>
      <c r="K166" s="11">
        <v>29</v>
      </c>
      <c r="L166" s="11" t="s">
        <v>196</v>
      </c>
      <c r="M166" s="11" t="s">
        <v>139</v>
      </c>
      <c r="N166" s="14" t="s">
        <v>37</v>
      </c>
    </row>
    <row r="167" spans="1:14" ht="13.15" customHeight="1" x14ac:dyDescent="0.2">
      <c r="A167" s="10"/>
      <c r="B167" s="11" t="s">
        <v>12</v>
      </c>
      <c r="C167" s="11" t="s">
        <v>19</v>
      </c>
      <c r="D167" s="11">
        <v>210</v>
      </c>
      <c r="E167" s="12" t="s">
        <v>199</v>
      </c>
      <c r="F167" s="13">
        <v>43308</v>
      </c>
      <c r="G167" s="13" t="s">
        <v>140</v>
      </c>
      <c r="H167" s="11" t="s">
        <v>141</v>
      </c>
      <c r="I167" s="11" t="s">
        <v>16</v>
      </c>
      <c r="J167" s="11" t="s">
        <v>17</v>
      </c>
      <c r="K167" s="11">
        <v>29</v>
      </c>
      <c r="L167" s="11" t="s">
        <v>196</v>
      </c>
      <c r="M167" s="11" t="s">
        <v>139</v>
      </c>
      <c r="N167" s="14" t="s">
        <v>20</v>
      </c>
    </row>
    <row r="168" spans="1:14" x14ac:dyDescent="0.2">
      <c r="A168" s="10"/>
      <c r="B168" s="11" t="s">
        <v>12</v>
      </c>
      <c r="C168" s="11" t="s">
        <v>80</v>
      </c>
      <c r="D168" s="11">
        <v>9</v>
      </c>
      <c r="E168" s="12" t="s">
        <v>199</v>
      </c>
      <c r="F168" s="13">
        <v>43308</v>
      </c>
      <c r="G168" s="13" t="s">
        <v>140</v>
      </c>
      <c r="H168" s="11" t="s">
        <v>141</v>
      </c>
      <c r="I168" s="11" t="s">
        <v>16</v>
      </c>
      <c r="J168" s="11" t="s">
        <v>17</v>
      </c>
      <c r="K168" s="11">
        <v>29</v>
      </c>
      <c r="L168" s="11" t="s">
        <v>196</v>
      </c>
      <c r="M168" s="11" t="s">
        <v>139</v>
      </c>
      <c r="N168" s="14" t="s">
        <v>82</v>
      </c>
    </row>
    <row r="169" spans="1:14" x14ac:dyDescent="0.2">
      <c r="A169" s="10"/>
      <c r="B169" s="11" t="s">
        <v>12</v>
      </c>
      <c r="C169" s="11" t="s">
        <v>21</v>
      </c>
      <c r="D169" s="11">
        <v>9</v>
      </c>
      <c r="E169" s="12" t="s">
        <v>199</v>
      </c>
      <c r="F169" s="13">
        <v>43308</v>
      </c>
      <c r="G169" s="13" t="s">
        <v>116</v>
      </c>
      <c r="H169" s="11" t="s">
        <v>188</v>
      </c>
      <c r="I169" s="11" t="s">
        <v>24</v>
      </c>
      <c r="J169" s="11" t="s">
        <v>25</v>
      </c>
      <c r="K169" s="11">
        <v>30</v>
      </c>
      <c r="L169" s="11" t="s">
        <v>195</v>
      </c>
      <c r="M169" s="11" t="s">
        <v>117</v>
      </c>
      <c r="N169" s="14" t="s">
        <v>26</v>
      </c>
    </row>
    <row r="170" spans="1:14" x14ac:dyDescent="0.2">
      <c r="A170" s="10"/>
      <c r="B170" s="11" t="s">
        <v>12</v>
      </c>
      <c r="C170" s="11" t="s">
        <v>27</v>
      </c>
      <c r="D170" s="11">
        <v>26</v>
      </c>
      <c r="E170" s="12" t="s">
        <v>199</v>
      </c>
      <c r="F170" s="13">
        <v>43308</v>
      </c>
      <c r="G170" s="13" t="s">
        <v>116</v>
      </c>
      <c r="H170" s="11" t="s">
        <v>188</v>
      </c>
      <c r="I170" s="11" t="s">
        <v>24</v>
      </c>
      <c r="J170" s="11" t="s">
        <v>25</v>
      </c>
      <c r="K170" s="11">
        <v>30</v>
      </c>
      <c r="L170" s="11" t="s">
        <v>195</v>
      </c>
      <c r="M170" s="11" t="s">
        <v>117</v>
      </c>
      <c r="N170" s="14" t="s">
        <v>28</v>
      </c>
    </row>
    <row r="171" spans="1:14" x14ac:dyDescent="0.2">
      <c r="A171" s="10"/>
      <c r="B171" s="11" t="s">
        <v>12</v>
      </c>
      <c r="C171" s="11" t="s">
        <v>29</v>
      </c>
      <c r="D171" s="11">
        <v>5</v>
      </c>
      <c r="E171" s="12" t="s">
        <v>199</v>
      </c>
      <c r="F171" s="13">
        <v>43308</v>
      </c>
      <c r="G171" s="13" t="s">
        <v>116</v>
      </c>
      <c r="H171" s="11" t="s">
        <v>188</v>
      </c>
      <c r="I171" s="11" t="s">
        <v>24</v>
      </c>
      <c r="J171" s="11" t="s">
        <v>25</v>
      </c>
      <c r="K171" s="11">
        <v>30</v>
      </c>
      <c r="L171" s="11" t="s">
        <v>195</v>
      </c>
      <c r="M171" s="11" t="s">
        <v>117</v>
      </c>
      <c r="N171" s="14" t="s">
        <v>30</v>
      </c>
    </row>
    <row r="172" spans="1:14" x14ac:dyDescent="0.2">
      <c r="A172" s="10"/>
      <c r="B172" s="11" t="s">
        <v>92</v>
      </c>
      <c r="C172" s="11" t="s">
        <v>109</v>
      </c>
      <c r="D172" s="11">
        <v>10</v>
      </c>
      <c r="E172" s="12" t="s">
        <v>199</v>
      </c>
      <c r="F172" s="13">
        <v>43308</v>
      </c>
      <c r="G172" s="13" t="s">
        <v>116</v>
      </c>
      <c r="H172" s="11" t="s">
        <v>188</v>
      </c>
      <c r="I172" s="11" t="s">
        <v>24</v>
      </c>
      <c r="J172" s="11" t="s">
        <v>25</v>
      </c>
      <c r="K172" s="11">
        <v>30</v>
      </c>
      <c r="L172" s="11" t="s">
        <v>195</v>
      </c>
      <c r="M172" s="11" t="s">
        <v>117</v>
      </c>
      <c r="N172" s="14" t="s">
        <v>110</v>
      </c>
    </row>
    <row r="173" spans="1:14" x14ac:dyDescent="0.2">
      <c r="A173" s="10"/>
      <c r="B173" s="11" t="s">
        <v>92</v>
      </c>
      <c r="C173" s="11" t="s">
        <v>96</v>
      </c>
      <c r="D173" s="11">
        <v>3</v>
      </c>
      <c r="E173" s="12" t="s">
        <v>199</v>
      </c>
      <c r="F173" s="13">
        <v>43308</v>
      </c>
      <c r="G173" s="13" t="s">
        <v>116</v>
      </c>
      <c r="H173" s="11" t="s">
        <v>188</v>
      </c>
      <c r="I173" s="11" t="s">
        <v>24</v>
      </c>
      <c r="J173" s="11" t="s">
        <v>25</v>
      </c>
      <c r="K173" s="11">
        <v>30</v>
      </c>
      <c r="L173" s="11" t="s">
        <v>195</v>
      </c>
      <c r="M173" s="11" t="s">
        <v>117</v>
      </c>
      <c r="N173" s="14" t="s">
        <v>97</v>
      </c>
    </row>
    <row r="174" spans="1:14" x14ac:dyDescent="0.2">
      <c r="A174" s="10"/>
      <c r="B174" s="11" t="s">
        <v>12</v>
      </c>
      <c r="C174" s="11" t="s">
        <v>49</v>
      </c>
      <c r="D174" s="11">
        <v>14</v>
      </c>
      <c r="E174" s="12" t="s">
        <v>199</v>
      </c>
      <c r="F174" s="13">
        <v>43308</v>
      </c>
      <c r="G174" s="13" t="s">
        <v>116</v>
      </c>
      <c r="H174" s="11" t="s">
        <v>188</v>
      </c>
      <c r="I174" s="11" t="s">
        <v>24</v>
      </c>
      <c r="J174" s="11" t="s">
        <v>25</v>
      </c>
      <c r="K174" s="11">
        <v>30</v>
      </c>
      <c r="L174" s="11" t="s">
        <v>195</v>
      </c>
      <c r="M174" s="11" t="s">
        <v>117</v>
      </c>
      <c r="N174" s="14" t="s">
        <v>50</v>
      </c>
    </row>
    <row r="175" spans="1:14" x14ac:dyDescent="0.2">
      <c r="A175" s="10"/>
      <c r="B175" s="11" t="s">
        <v>12</v>
      </c>
      <c r="C175" s="11" t="s">
        <v>118</v>
      </c>
      <c r="D175" s="11">
        <v>30</v>
      </c>
      <c r="E175" s="12" t="s">
        <v>199</v>
      </c>
      <c r="F175" s="13">
        <v>43308</v>
      </c>
      <c r="G175" s="13" t="s">
        <v>116</v>
      </c>
      <c r="H175" s="11" t="s">
        <v>188</v>
      </c>
      <c r="I175" s="11" t="s">
        <v>24</v>
      </c>
      <c r="J175" s="11" t="s">
        <v>25</v>
      </c>
      <c r="K175" s="11">
        <v>30</v>
      </c>
      <c r="L175" s="11" t="s">
        <v>195</v>
      </c>
      <c r="M175" s="11" t="s">
        <v>117</v>
      </c>
      <c r="N175" s="14" t="s">
        <v>119</v>
      </c>
    </row>
    <row r="176" spans="1:14" x14ac:dyDescent="0.2">
      <c r="A176" s="10"/>
      <c r="B176" s="11" t="s">
        <v>33</v>
      </c>
      <c r="C176" s="11" t="s">
        <v>34</v>
      </c>
      <c r="D176" s="11">
        <v>13</v>
      </c>
      <c r="E176" s="12" t="s">
        <v>199</v>
      </c>
      <c r="F176" s="13">
        <v>43308</v>
      </c>
      <c r="G176" s="13" t="s">
        <v>116</v>
      </c>
      <c r="H176" s="11" t="s">
        <v>188</v>
      </c>
      <c r="I176" s="11" t="s">
        <v>24</v>
      </c>
      <c r="J176" s="11" t="s">
        <v>25</v>
      </c>
      <c r="K176" s="11">
        <v>30</v>
      </c>
      <c r="L176" s="11" t="s">
        <v>195</v>
      </c>
      <c r="M176" s="11" t="s">
        <v>117</v>
      </c>
      <c r="N176" s="14" t="s">
        <v>35</v>
      </c>
    </row>
    <row r="177" spans="1:14" x14ac:dyDescent="0.2">
      <c r="A177" s="10"/>
      <c r="B177" s="11" t="s">
        <v>33</v>
      </c>
      <c r="C177" s="11" t="s">
        <v>36</v>
      </c>
      <c r="D177" s="11">
        <v>8</v>
      </c>
      <c r="E177" s="12" t="s">
        <v>199</v>
      </c>
      <c r="F177" s="13">
        <v>43308</v>
      </c>
      <c r="G177" s="13" t="s">
        <v>116</v>
      </c>
      <c r="H177" s="11" t="s">
        <v>188</v>
      </c>
      <c r="I177" s="11" t="s">
        <v>24</v>
      </c>
      <c r="J177" s="11" t="s">
        <v>25</v>
      </c>
      <c r="K177" s="11">
        <v>30</v>
      </c>
      <c r="L177" s="11" t="s">
        <v>195</v>
      </c>
      <c r="M177" s="11" t="s">
        <v>117</v>
      </c>
      <c r="N177" s="14" t="s">
        <v>37</v>
      </c>
    </row>
    <row r="178" spans="1:14" x14ac:dyDescent="0.2">
      <c r="A178" s="10"/>
      <c r="B178" s="11" t="s">
        <v>33</v>
      </c>
      <c r="C178" s="11" t="s">
        <v>53</v>
      </c>
      <c r="D178" s="11">
        <v>5</v>
      </c>
      <c r="E178" s="12" t="s">
        <v>199</v>
      </c>
      <c r="F178" s="13">
        <v>43308</v>
      </c>
      <c r="G178" s="13" t="s">
        <v>116</v>
      </c>
      <c r="H178" s="11" t="s">
        <v>188</v>
      </c>
      <c r="I178" s="11" t="s">
        <v>24</v>
      </c>
      <c r="J178" s="11" t="s">
        <v>25</v>
      </c>
      <c r="K178" s="11">
        <v>30</v>
      </c>
      <c r="L178" s="11" t="s">
        <v>195</v>
      </c>
      <c r="M178" s="11" t="s">
        <v>117</v>
      </c>
      <c r="N178" s="14" t="s">
        <v>54</v>
      </c>
    </row>
    <row r="179" spans="1:14" x14ac:dyDescent="0.2">
      <c r="A179" s="10"/>
      <c r="B179" s="11" t="s">
        <v>12</v>
      </c>
      <c r="C179" s="11" t="s">
        <v>44</v>
      </c>
      <c r="D179" s="11">
        <v>20</v>
      </c>
      <c r="E179" s="12" t="s">
        <v>199</v>
      </c>
      <c r="F179" s="13">
        <v>43308</v>
      </c>
      <c r="G179" s="13" t="s">
        <v>116</v>
      </c>
      <c r="H179" s="11" t="s">
        <v>188</v>
      </c>
      <c r="I179" s="11" t="s">
        <v>16</v>
      </c>
      <c r="J179" s="11" t="s">
        <v>17</v>
      </c>
      <c r="K179" s="11">
        <v>30</v>
      </c>
      <c r="L179" s="11" t="s">
        <v>195</v>
      </c>
      <c r="M179" s="11" t="s">
        <v>117</v>
      </c>
      <c r="N179" s="14" t="s">
        <v>45</v>
      </c>
    </row>
    <row r="180" spans="1:14" x14ac:dyDescent="0.2">
      <c r="A180" s="10"/>
      <c r="B180" s="11" t="s">
        <v>12</v>
      </c>
      <c r="C180" s="11" t="s">
        <v>47</v>
      </c>
      <c r="D180" s="11">
        <v>10</v>
      </c>
      <c r="E180" s="12" t="s">
        <v>199</v>
      </c>
      <c r="F180" s="13">
        <v>43308</v>
      </c>
      <c r="G180" s="13" t="s">
        <v>116</v>
      </c>
      <c r="H180" s="11" t="s">
        <v>188</v>
      </c>
      <c r="I180" s="11" t="s">
        <v>16</v>
      </c>
      <c r="J180" s="11" t="s">
        <v>17</v>
      </c>
      <c r="K180" s="11">
        <v>30</v>
      </c>
      <c r="L180" s="11" t="s">
        <v>195</v>
      </c>
      <c r="M180" s="11" t="s">
        <v>117</v>
      </c>
      <c r="N180" s="14" t="s">
        <v>48</v>
      </c>
    </row>
    <row r="181" spans="1:14" x14ac:dyDescent="0.2">
      <c r="A181" s="10"/>
      <c r="B181" s="11" t="s">
        <v>12</v>
      </c>
      <c r="C181" s="11" t="s">
        <v>13</v>
      </c>
      <c r="D181" s="11">
        <v>4</v>
      </c>
      <c r="E181" s="12" t="s">
        <v>199</v>
      </c>
      <c r="F181" s="13">
        <v>43308</v>
      </c>
      <c r="G181" s="13" t="s">
        <v>116</v>
      </c>
      <c r="H181" s="11" t="s">
        <v>188</v>
      </c>
      <c r="I181" s="11" t="s">
        <v>16</v>
      </c>
      <c r="J181" s="11" t="s">
        <v>17</v>
      </c>
      <c r="K181" s="11">
        <v>30</v>
      </c>
      <c r="L181" s="11" t="s">
        <v>195</v>
      </c>
      <c r="M181" s="11" t="s">
        <v>117</v>
      </c>
      <c r="N181" s="14" t="s">
        <v>18</v>
      </c>
    </row>
    <row r="182" spans="1:14" x14ac:dyDescent="0.2">
      <c r="A182" s="10"/>
      <c r="B182" s="11" t="s">
        <v>12</v>
      </c>
      <c r="C182" s="11" t="s">
        <v>38</v>
      </c>
      <c r="D182" s="11">
        <v>32</v>
      </c>
      <c r="E182" s="12" t="s">
        <v>199</v>
      </c>
      <c r="F182" s="13">
        <v>43308</v>
      </c>
      <c r="G182" s="13" t="s">
        <v>116</v>
      </c>
      <c r="H182" s="11" t="s">
        <v>188</v>
      </c>
      <c r="I182" s="11" t="s">
        <v>16</v>
      </c>
      <c r="J182" s="11" t="s">
        <v>17</v>
      </c>
      <c r="K182" s="11">
        <v>30</v>
      </c>
      <c r="L182" s="11" t="s">
        <v>195</v>
      </c>
      <c r="M182" s="11" t="s">
        <v>117</v>
      </c>
      <c r="N182" s="14" t="s">
        <v>39</v>
      </c>
    </row>
    <row r="183" spans="1:14" x14ac:dyDescent="0.2">
      <c r="A183" s="10"/>
      <c r="B183" s="11" t="s">
        <v>12</v>
      </c>
      <c r="C183" s="11" t="s">
        <v>19</v>
      </c>
      <c r="D183" s="11">
        <v>208</v>
      </c>
      <c r="E183" s="12" t="s">
        <v>199</v>
      </c>
      <c r="F183" s="13">
        <v>43308</v>
      </c>
      <c r="G183" s="13" t="s">
        <v>116</v>
      </c>
      <c r="H183" s="11" t="s">
        <v>188</v>
      </c>
      <c r="I183" s="11" t="s">
        <v>16</v>
      </c>
      <c r="J183" s="11" t="s">
        <v>17</v>
      </c>
      <c r="K183" s="11">
        <v>30</v>
      </c>
      <c r="L183" s="11" t="s">
        <v>195</v>
      </c>
      <c r="M183" s="11" t="s">
        <v>117</v>
      </c>
      <c r="N183" s="14" t="s">
        <v>20</v>
      </c>
    </row>
    <row r="184" spans="1:14" x14ac:dyDescent="0.2">
      <c r="A184" s="10"/>
      <c r="B184" s="11" t="s">
        <v>12</v>
      </c>
      <c r="C184" s="11" t="s">
        <v>65</v>
      </c>
      <c r="D184" s="11">
        <v>7</v>
      </c>
      <c r="E184" s="12" t="s">
        <v>199</v>
      </c>
      <c r="F184" s="13">
        <v>43308</v>
      </c>
      <c r="G184" s="13" t="s">
        <v>116</v>
      </c>
      <c r="H184" s="11" t="s">
        <v>188</v>
      </c>
      <c r="I184" s="11" t="s">
        <v>16</v>
      </c>
      <c r="J184" s="11" t="s">
        <v>17</v>
      </c>
      <c r="K184" s="11">
        <v>30</v>
      </c>
      <c r="L184" s="11" t="s">
        <v>195</v>
      </c>
      <c r="M184" s="11" t="s">
        <v>117</v>
      </c>
      <c r="N184" s="14" t="s">
        <v>66</v>
      </c>
    </row>
    <row r="185" spans="1:14" x14ac:dyDescent="0.2">
      <c r="A185" s="10"/>
      <c r="B185" s="11" t="s">
        <v>12</v>
      </c>
      <c r="C185" s="11" t="s">
        <v>40</v>
      </c>
      <c r="D185" s="11">
        <v>25</v>
      </c>
      <c r="E185" s="12" t="s">
        <v>199</v>
      </c>
      <c r="F185" s="13">
        <v>43308</v>
      </c>
      <c r="G185" s="13" t="s">
        <v>116</v>
      </c>
      <c r="H185" s="11" t="s">
        <v>188</v>
      </c>
      <c r="I185" s="11" t="s">
        <v>16</v>
      </c>
      <c r="J185" s="11" t="s">
        <v>17</v>
      </c>
      <c r="K185" s="11">
        <v>30</v>
      </c>
      <c r="L185" s="11" t="s">
        <v>195</v>
      </c>
      <c r="M185" s="11" t="s">
        <v>117</v>
      </c>
      <c r="N185" s="14" t="s">
        <v>41</v>
      </c>
    </row>
    <row r="186" spans="1:14" x14ac:dyDescent="0.2">
      <c r="A186" s="10"/>
      <c r="B186" s="11" t="s">
        <v>12</v>
      </c>
      <c r="C186" s="11" t="s">
        <v>57</v>
      </c>
      <c r="D186" s="11">
        <v>25</v>
      </c>
      <c r="E186" s="12" t="s">
        <v>199</v>
      </c>
      <c r="F186" s="13">
        <v>43308</v>
      </c>
      <c r="G186" s="13" t="s">
        <v>116</v>
      </c>
      <c r="H186" s="11" t="s">
        <v>188</v>
      </c>
      <c r="I186" s="11" t="s">
        <v>16</v>
      </c>
      <c r="J186" s="11" t="s">
        <v>17</v>
      </c>
      <c r="K186" s="11">
        <v>30</v>
      </c>
      <c r="L186" s="11" t="s">
        <v>195</v>
      </c>
      <c r="M186" s="11" t="s">
        <v>117</v>
      </c>
      <c r="N186" s="14" t="s">
        <v>58</v>
      </c>
    </row>
    <row r="187" spans="1:14" x14ac:dyDescent="0.2">
      <c r="A187" s="10"/>
      <c r="B187" s="11" t="s">
        <v>12</v>
      </c>
      <c r="C187" s="11" t="s">
        <v>80</v>
      </c>
      <c r="D187" s="11">
        <v>15</v>
      </c>
      <c r="E187" s="12" t="s">
        <v>199</v>
      </c>
      <c r="F187" s="13">
        <v>43308</v>
      </c>
      <c r="G187" s="13" t="s">
        <v>116</v>
      </c>
      <c r="H187" s="11" t="s">
        <v>188</v>
      </c>
      <c r="I187" s="11" t="s">
        <v>16</v>
      </c>
      <c r="J187" s="11" t="s">
        <v>17</v>
      </c>
      <c r="K187" s="11">
        <v>30</v>
      </c>
      <c r="L187" s="11" t="s">
        <v>195</v>
      </c>
      <c r="M187" s="11" t="s">
        <v>117</v>
      </c>
      <c r="N187" s="14" t="s">
        <v>82</v>
      </c>
    </row>
    <row r="188" spans="1:14" x14ac:dyDescent="0.2">
      <c r="A188" s="10"/>
      <c r="B188" s="11" t="s">
        <v>12</v>
      </c>
      <c r="C188" s="11" t="s">
        <v>42</v>
      </c>
      <c r="D188" s="11">
        <v>150</v>
      </c>
      <c r="E188" s="12" t="s">
        <v>199</v>
      </c>
      <c r="F188" s="13">
        <v>43308</v>
      </c>
      <c r="G188" s="13" t="s">
        <v>116</v>
      </c>
      <c r="H188" s="11" t="s">
        <v>188</v>
      </c>
      <c r="I188" s="11" t="s">
        <v>16</v>
      </c>
      <c r="J188" s="11" t="s">
        <v>17</v>
      </c>
      <c r="K188" s="11">
        <v>30</v>
      </c>
      <c r="L188" s="11" t="s">
        <v>195</v>
      </c>
      <c r="M188" s="11" t="s">
        <v>117</v>
      </c>
      <c r="N188" s="14" t="s">
        <v>43</v>
      </c>
    </row>
    <row r="189" spans="1:14" x14ac:dyDescent="0.2">
      <c r="A189" s="10"/>
      <c r="B189" s="11" t="s">
        <v>12</v>
      </c>
      <c r="C189" s="11" t="s">
        <v>21</v>
      </c>
      <c r="D189" s="11">
        <v>32</v>
      </c>
      <c r="E189" s="12" t="s">
        <v>199</v>
      </c>
      <c r="F189" s="13">
        <v>43308</v>
      </c>
      <c r="G189" s="13" t="s">
        <v>116</v>
      </c>
      <c r="H189" s="11" t="s">
        <v>188</v>
      </c>
      <c r="I189" s="11" t="s">
        <v>24</v>
      </c>
      <c r="J189" s="11" t="s">
        <v>25</v>
      </c>
      <c r="K189" s="11">
        <v>31</v>
      </c>
      <c r="L189" s="11" t="s">
        <v>195</v>
      </c>
      <c r="M189" s="11" t="s">
        <v>120</v>
      </c>
      <c r="N189" s="14" t="s">
        <v>26</v>
      </c>
    </row>
    <row r="190" spans="1:14" x14ac:dyDescent="0.2">
      <c r="A190" s="10"/>
      <c r="B190" s="11" t="s">
        <v>12</v>
      </c>
      <c r="C190" s="11" t="s">
        <v>27</v>
      </c>
      <c r="D190" s="11">
        <v>40</v>
      </c>
      <c r="E190" s="12" t="s">
        <v>199</v>
      </c>
      <c r="F190" s="13">
        <v>43308</v>
      </c>
      <c r="G190" s="13" t="s">
        <v>116</v>
      </c>
      <c r="H190" s="11" t="s">
        <v>188</v>
      </c>
      <c r="I190" s="11" t="s">
        <v>24</v>
      </c>
      <c r="J190" s="11" t="s">
        <v>25</v>
      </c>
      <c r="K190" s="11">
        <v>31</v>
      </c>
      <c r="L190" s="11" t="s">
        <v>195</v>
      </c>
      <c r="M190" s="11" t="s">
        <v>120</v>
      </c>
      <c r="N190" s="14" t="s">
        <v>28</v>
      </c>
    </row>
    <row r="191" spans="1:14" x14ac:dyDescent="0.2">
      <c r="A191" s="10"/>
      <c r="B191" s="11" t="s">
        <v>12</v>
      </c>
      <c r="C191" s="11" t="s">
        <v>29</v>
      </c>
      <c r="D191" s="11">
        <v>22</v>
      </c>
      <c r="E191" s="12" t="s">
        <v>199</v>
      </c>
      <c r="F191" s="13">
        <v>43308</v>
      </c>
      <c r="G191" s="13" t="s">
        <v>116</v>
      </c>
      <c r="H191" s="11" t="s">
        <v>188</v>
      </c>
      <c r="I191" s="11" t="s">
        <v>24</v>
      </c>
      <c r="J191" s="11" t="s">
        <v>25</v>
      </c>
      <c r="K191" s="11">
        <v>31</v>
      </c>
      <c r="L191" s="11" t="s">
        <v>195</v>
      </c>
      <c r="M191" s="11" t="s">
        <v>120</v>
      </c>
      <c r="N191" s="14" t="s">
        <v>30</v>
      </c>
    </row>
    <row r="192" spans="1:14" x14ac:dyDescent="0.2">
      <c r="A192" s="10"/>
      <c r="B192" s="11" t="s">
        <v>92</v>
      </c>
      <c r="C192" s="11" t="s">
        <v>109</v>
      </c>
      <c r="D192" s="11">
        <v>30</v>
      </c>
      <c r="E192" s="12" t="s">
        <v>199</v>
      </c>
      <c r="F192" s="13">
        <v>43308</v>
      </c>
      <c r="G192" s="13" t="s">
        <v>116</v>
      </c>
      <c r="H192" s="11" t="s">
        <v>188</v>
      </c>
      <c r="I192" s="11" t="s">
        <v>24</v>
      </c>
      <c r="J192" s="11" t="s">
        <v>25</v>
      </c>
      <c r="K192" s="11">
        <v>31</v>
      </c>
      <c r="L192" s="11" t="s">
        <v>195</v>
      </c>
      <c r="M192" s="11" t="s">
        <v>120</v>
      </c>
      <c r="N192" s="14" t="s">
        <v>110</v>
      </c>
    </row>
    <row r="193" spans="1:14" x14ac:dyDescent="0.2">
      <c r="A193" s="10"/>
      <c r="B193" s="11" t="s">
        <v>92</v>
      </c>
      <c r="C193" s="11" t="s">
        <v>96</v>
      </c>
      <c r="D193" s="11">
        <v>16</v>
      </c>
      <c r="E193" s="12" t="s">
        <v>199</v>
      </c>
      <c r="F193" s="13">
        <v>43308</v>
      </c>
      <c r="G193" s="13" t="s">
        <v>116</v>
      </c>
      <c r="H193" s="11" t="s">
        <v>188</v>
      </c>
      <c r="I193" s="11" t="s">
        <v>24</v>
      </c>
      <c r="J193" s="11" t="s">
        <v>25</v>
      </c>
      <c r="K193" s="11">
        <v>31</v>
      </c>
      <c r="L193" s="11" t="s">
        <v>195</v>
      </c>
      <c r="M193" s="11" t="s">
        <v>120</v>
      </c>
      <c r="N193" s="14" t="s">
        <v>97</v>
      </c>
    </row>
    <row r="194" spans="1:14" x14ac:dyDescent="0.2">
      <c r="A194" s="10"/>
      <c r="B194" s="11" t="s">
        <v>12</v>
      </c>
      <c r="C194" s="11" t="s">
        <v>49</v>
      </c>
      <c r="D194" s="11">
        <v>48</v>
      </c>
      <c r="E194" s="12" t="s">
        <v>199</v>
      </c>
      <c r="F194" s="13">
        <v>43308</v>
      </c>
      <c r="G194" s="13" t="s">
        <v>116</v>
      </c>
      <c r="H194" s="11" t="s">
        <v>188</v>
      </c>
      <c r="I194" s="11" t="s">
        <v>24</v>
      </c>
      <c r="J194" s="11" t="s">
        <v>25</v>
      </c>
      <c r="K194" s="11">
        <v>31</v>
      </c>
      <c r="L194" s="11" t="s">
        <v>195</v>
      </c>
      <c r="M194" s="11" t="s">
        <v>120</v>
      </c>
      <c r="N194" s="14" t="s">
        <v>50</v>
      </c>
    </row>
    <row r="195" spans="1:14" x14ac:dyDescent="0.2">
      <c r="A195" s="10"/>
      <c r="B195" s="11" t="s">
        <v>33</v>
      </c>
      <c r="C195" s="11" t="s">
        <v>34</v>
      </c>
      <c r="D195" s="11">
        <v>60</v>
      </c>
      <c r="E195" s="12" t="s">
        <v>199</v>
      </c>
      <c r="F195" s="13">
        <v>43308</v>
      </c>
      <c r="G195" s="13" t="s">
        <v>116</v>
      </c>
      <c r="H195" s="11" t="s">
        <v>188</v>
      </c>
      <c r="I195" s="11" t="s">
        <v>24</v>
      </c>
      <c r="J195" s="11" t="s">
        <v>25</v>
      </c>
      <c r="K195" s="11">
        <v>31</v>
      </c>
      <c r="L195" s="11" t="s">
        <v>195</v>
      </c>
      <c r="M195" s="11" t="s">
        <v>120</v>
      </c>
      <c r="N195" s="14" t="s">
        <v>35</v>
      </c>
    </row>
    <row r="196" spans="1:14" x14ac:dyDescent="0.2">
      <c r="A196" s="10"/>
      <c r="B196" s="11" t="s">
        <v>33</v>
      </c>
      <c r="C196" s="11" t="s">
        <v>36</v>
      </c>
      <c r="D196" s="11">
        <v>42</v>
      </c>
      <c r="E196" s="12" t="s">
        <v>199</v>
      </c>
      <c r="F196" s="13">
        <v>43308</v>
      </c>
      <c r="G196" s="13" t="s">
        <v>116</v>
      </c>
      <c r="H196" s="11" t="s">
        <v>188</v>
      </c>
      <c r="I196" s="11" t="s">
        <v>24</v>
      </c>
      <c r="J196" s="11" t="s">
        <v>25</v>
      </c>
      <c r="K196" s="11">
        <v>31</v>
      </c>
      <c r="L196" s="11" t="s">
        <v>195</v>
      </c>
      <c r="M196" s="11" t="s">
        <v>120</v>
      </c>
      <c r="N196" s="14" t="s">
        <v>37</v>
      </c>
    </row>
    <row r="197" spans="1:14" x14ac:dyDescent="0.2">
      <c r="A197" s="10"/>
      <c r="B197" s="11" t="s">
        <v>33</v>
      </c>
      <c r="C197" s="11" t="s">
        <v>53</v>
      </c>
      <c r="D197" s="11">
        <v>10</v>
      </c>
      <c r="E197" s="12" t="s">
        <v>199</v>
      </c>
      <c r="F197" s="13">
        <v>43308</v>
      </c>
      <c r="G197" s="13" t="s">
        <v>116</v>
      </c>
      <c r="H197" s="11" t="s">
        <v>188</v>
      </c>
      <c r="I197" s="11" t="s">
        <v>24</v>
      </c>
      <c r="J197" s="11" t="s">
        <v>25</v>
      </c>
      <c r="K197" s="11">
        <v>31</v>
      </c>
      <c r="L197" s="11" t="s">
        <v>195</v>
      </c>
      <c r="M197" s="11" t="s">
        <v>120</v>
      </c>
      <c r="N197" s="14" t="s">
        <v>54</v>
      </c>
    </row>
    <row r="198" spans="1:14" x14ac:dyDescent="0.2">
      <c r="A198" s="10"/>
      <c r="B198" s="11" t="s">
        <v>12</v>
      </c>
      <c r="C198" s="11" t="s">
        <v>47</v>
      </c>
      <c r="D198" s="11">
        <v>15</v>
      </c>
      <c r="E198" s="12" t="s">
        <v>199</v>
      </c>
      <c r="F198" s="13">
        <v>43308</v>
      </c>
      <c r="G198" s="13" t="s">
        <v>116</v>
      </c>
      <c r="H198" s="11" t="s">
        <v>188</v>
      </c>
      <c r="I198" s="11" t="s">
        <v>16</v>
      </c>
      <c r="J198" s="11" t="s">
        <v>17</v>
      </c>
      <c r="K198" s="11">
        <v>31</v>
      </c>
      <c r="L198" s="11" t="s">
        <v>195</v>
      </c>
      <c r="M198" s="11" t="s">
        <v>120</v>
      </c>
      <c r="N198" s="14" t="s">
        <v>48</v>
      </c>
    </row>
    <row r="199" spans="1:14" x14ac:dyDescent="0.2">
      <c r="A199" s="10"/>
      <c r="B199" s="11" t="s">
        <v>12</v>
      </c>
      <c r="C199" s="11" t="s">
        <v>65</v>
      </c>
      <c r="D199" s="11">
        <v>33</v>
      </c>
      <c r="E199" s="12" t="s">
        <v>199</v>
      </c>
      <c r="F199" s="13">
        <v>43308</v>
      </c>
      <c r="G199" s="13" t="s">
        <v>116</v>
      </c>
      <c r="H199" s="11" t="s">
        <v>188</v>
      </c>
      <c r="I199" s="11" t="s">
        <v>16</v>
      </c>
      <c r="J199" s="11" t="s">
        <v>17</v>
      </c>
      <c r="K199" s="11">
        <v>31</v>
      </c>
      <c r="L199" s="11" t="s">
        <v>195</v>
      </c>
      <c r="M199" s="11" t="s">
        <v>120</v>
      </c>
      <c r="N199" s="14" t="s">
        <v>66</v>
      </c>
    </row>
    <row r="200" spans="1:14" x14ac:dyDescent="0.2">
      <c r="A200" s="10"/>
      <c r="B200" s="11" t="s">
        <v>12</v>
      </c>
      <c r="C200" s="11" t="s">
        <v>40</v>
      </c>
      <c r="D200" s="11">
        <v>50</v>
      </c>
      <c r="E200" s="12" t="s">
        <v>199</v>
      </c>
      <c r="F200" s="13">
        <v>43308</v>
      </c>
      <c r="G200" s="13" t="s">
        <v>116</v>
      </c>
      <c r="H200" s="11" t="s">
        <v>188</v>
      </c>
      <c r="I200" s="11" t="s">
        <v>16</v>
      </c>
      <c r="J200" s="11" t="s">
        <v>17</v>
      </c>
      <c r="K200" s="11">
        <v>31</v>
      </c>
      <c r="L200" s="11" t="s">
        <v>195</v>
      </c>
      <c r="M200" s="11" t="s">
        <v>120</v>
      </c>
      <c r="N200" s="14" t="s">
        <v>41</v>
      </c>
    </row>
    <row r="201" spans="1:14" x14ac:dyDescent="0.2">
      <c r="A201" s="10"/>
      <c r="B201" s="11" t="s">
        <v>12</v>
      </c>
      <c r="C201" s="11" t="s">
        <v>80</v>
      </c>
      <c r="D201" s="11">
        <v>15</v>
      </c>
      <c r="E201" s="12" t="s">
        <v>199</v>
      </c>
      <c r="F201" s="13">
        <v>43308</v>
      </c>
      <c r="G201" s="13" t="s">
        <v>116</v>
      </c>
      <c r="H201" s="11" t="s">
        <v>188</v>
      </c>
      <c r="I201" s="11" t="s">
        <v>16</v>
      </c>
      <c r="J201" s="11" t="s">
        <v>17</v>
      </c>
      <c r="K201" s="11">
        <v>31</v>
      </c>
      <c r="L201" s="11" t="s">
        <v>195</v>
      </c>
      <c r="M201" s="11" t="s">
        <v>120</v>
      </c>
      <c r="N201" s="14" t="s">
        <v>82</v>
      </c>
    </row>
    <row r="202" spans="1:14" x14ac:dyDescent="0.2">
      <c r="A202" s="10"/>
      <c r="B202" s="11" t="s">
        <v>12</v>
      </c>
      <c r="C202" s="11" t="s">
        <v>42</v>
      </c>
      <c r="D202" s="11">
        <v>150</v>
      </c>
      <c r="E202" s="12" t="s">
        <v>199</v>
      </c>
      <c r="F202" s="13">
        <v>43308</v>
      </c>
      <c r="G202" s="13" t="s">
        <v>116</v>
      </c>
      <c r="H202" s="11" t="s">
        <v>188</v>
      </c>
      <c r="I202" s="11" t="s">
        <v>16</v>
      </c>
      <c r="J202" s="11" t="s">
        <v>17</v>
      </c>
      <c r="K202" s="11">
        <v>31</v>
      </c>
      <c r="L202" s="11" t="s">
        <v>195</v>
      </c>
      <c r="M202" s="11" t="s">
        <v>120</v>
      </c>
      <c r="N202" s="14" t="s">
        <v>43</v>
      </c>
    </row>
    <row r="203" spans="1:14" x14ac:dyDescent="0.2">
      <c r="A203" s="10"/>
      <c r="B203" s="11" t="s">
        <v>12</v>
      </c>
      <c r="C203" s="11" t="s">
        <v>44</v>
      </c>
      <c r="D203" s="11">
        <v>57</v>
      </c>
      <c r="E203" s="12" t="s">
        <v>199</v>
      </c>
      <c r="F203" s="13">
        <v>43308</v>
      </c>
      <c r="G203" s="13" t="s">
        <v>116</v>
      </c>
      <c r="H203" s="11" t="s">
        <v>188</v>
      </c>
      <c r="I203" s="11" t="s">
        <v>16</v>
      </c>
      <c r="J203" s="11" t="s">
        <v>17</v>
      </c>
      <c r="K203" s="11">
        <v>32</v>
      </c>
      <c r="L203" s="11" t="s">
        <v>195</v>
      </c>
      <c r="M203" s="11" t="s">
        <v>120</v>
      </c>
      <c r="N203" s="14" t="s">
        <v>45</v>
      </c>
    </row>
    <row r="204" spans="1:14" x14ac:dyDescent="0.2">
      <c r="A204" s="10"/>
      <c r="B204" s="11" t="s">
        <v>12</v>
      </c>
      <c r="C204" s="11" t="s">
        <v>13</v>
      </c>
      <c r="D204" s="11">
        <v>13</v>
      </c>
      <c r="E204" s="12" t="s">
        <v>199</v>
      </c>
      <c r="F204" s="13">
        <v>43308</v>
      </c>
      <c r="G204" s="13" t="s">
        <v>116</v>
      </c>
      <c r="H204" s="11" t="s">
        <v>188</v>
      </c>
      <c r="I204" s="11" t="s">
        <v>16</v>
      </c>
      <c r="J204" s="11" t="s">
        <v>17</v>
      </c>
      <c r="K204" s="11">
        <v>32</v>
      </c>
      <c r="L204" s="11" t="s">
        <v>195</v>
      </c>
      <c r="M204" s="11" t="s">
        <v>120</v>
      </c>
      <c r="N204" s="14" t="s">
        <v>18</v>
      </c>
    </row>
    <row r="205" spans="1:14" x14ac:dyDescent="0.2">
      <c r="A205" s="10"/>
      <c r="B205" s="11" t="s">
        <v>12</v>
      </c>
      <c r="C205" s="11" t="s">
        <v>38</v>
      </c>
      <c r="D205" s="11">
        <v>260</v>
      </c>
      <c r="E205" s="12" t="s">
        <v>199</v>
      </c>
      <c r="F205" s="13">
        <v>43308</v>
      </c>
      <c r="G205" s="13" t="s">
        <v>116</v>
      </c>
      <c r="H205" s="11" t="s">
        <v>188</v>
      </c>
      <c r="I205" s="11" t="s">
        <v>16</v>
      </c>
      <c r="J205" s="11" t="s">
        <v>17</v>
      </c>
      <c r="K205" s="11">
        <v>32</v>
      </c>
      <c r="L205" s="11" t="s">
        <v>195</v>
      </c>
      <c r="M205" s="11" t="s">
        <v>120</v>
      </c>
      <c r="N205" s="14" t="s">
        <v>39</v>
      </c>
    </row>
    <row r="206" spans="1:14" x14ac:dyDescent="0.2">
      <c r="A206" s="10"/>
      <c r="B206" s="11" t="s">
        <v>12</v>
      </c>
      <c r="C206" s="11" t="s">
        <v>19</v>
      </c>
      <c r="D206" s="11">
        <v>162</v>
      </c>
      <c r="E206" s="12" t="s">
        <v>199</v>
      </c>
      <c r="F206" s="13">
        <v>43308</v>
      </c>
      <c r="G206" s="13" t="s">
        <v>116</v>
      </c>
      <c r="H206" s="11" t="s">
        <v>188</v>
      </c>
      <c r="I206" s="11" t="s">
        <v>16</v>
      </c>
      <c r="J206" s="11" t="s">
        <v>17</v>
      </c>
      <c r="K206" s="11">
        <v>32</v>
      </c>
      <c r="L206" s="11" t="s">
        <v>195</v>
      </c>
      <c r="M206" s="11" t="s">
        <v>120</v>
      </c>
      <c r="N206" s="14" t="s">
        <v>20</v>
      </c>
    </row>
    <row r="207" spans="1:14" x14ac:dyDescent="0.2">
      <c r="A207" s="10"/>
      <c r="B207" s="11" t="s">
        <v>12</v>
      </c>
      <c r="C207" s="11" t="s">
        <v>57</v>
      </c>
      <c r="D207" s="11">
        <v>10</v>
      </c>
      <c r="E207" s="12" t="s">
        <v>199</v>
      </c>
      <c r="F207" s="13">
        <v>43308</v>
      </c>
      <c r="G207" s="13" t="s">
        <v>116</v>
      </c>
      <c r="H207" s="11" t="s">
        <v>188</v>
      </c>
      <c r="I207" s="11" t="s">
        <v>16</v>
      </c>
      <c r="J207" s="11" t="s">
        <v>17</v>
      </c>
      <c r="K207" s="11">
        <v>32</v>
      </c>
      <c r="L207" s="11" t="s">
        <v>195</v>
      </c>
      <c r="M207" s="11" t="s">
        <v>120</v>
      </c>
      <c r="N207" s="14" t="s">
        <v>58</v>
      </c>
    </row>
    <row r="208" spans="1:14" x14ac:dyDescent="0.2">
      <c r="A208" s="10"/>
      <c r="B208" s="11" t="s">
        <v>12</v>
      </c>
      <c r="C208" s="11" t="s">
        <v>118</v>
      </c>
      <c r="D208" s="11">
        <v>30</v>
      </c>
      <c r="E208" s="12" t="s">
        <v>199</v>
      </c>
      <c r="F208" s="13">
        <v>43308</v>
      </c>
      <c r="G208" s="13" t="s">
        <v>116</v>
      </c>
      <c r="H208" s="11" t="s">
        <v>188</v>
      </c>
      <c r="I208" s="11" t="s">
        <v>16</v>
      </c>
      <c r="J208" s="11" t="s">
        <v>17</v>
      </c>
      <c r="K208" s="11">
        <v>32</v>
      </c>
      <c r="L208" s="11" t="s">
        <v>195</v>
      </c>
      <c r="M208" s="11" t="s">
        <v>120</v>
      </c>
      <c r="N208" s="14" t="s">
        <v>119</v>
      </c>
    </row>
    <row r="209" spans="1:14" x14ac:dyDescent="0.2">
      <c r="A209" s="10"/>
      <c r="B209" s="11" t="s">
        <v>92</v>
      </c>
      <c r="C209" s="11" t="s">
        <v>109</v>
      </c>
      <c r="D209" s="11">
        <v>40</v>
      </c>
      <c r="E209" s="12" t="s">
        <v>199</v>
      </c>
      <c r="F209" s="13">
        <v>43308</v>
      </c>
      <c r="G209" s="13" t="s">
        <v>108</v>
      </c>
      <c r="H209" s="11" t="s">
        <v>189</v>
      </c>
      <c r="I209" s="11" t="s">
        <v>24</v>
      </c>
      <c r="J209" s="11" t="s">
        <v>25</v>
      </c>
      <c r="K209" s="11">
        <v>33</v>
      </c>
      <c r="L209" s="11" t="s">
        <v>194</v>
      </c>
      <c r="M209" s="11"/>
      <c r="N209" s="14" t="s">
        <v>110</v>
      </c>
    </row>
    <row r="210" spans="1:14" x14ac:dyDescent="0.2">
      <c r="A210" s="10"/>
      <c r="B210" s="11" t="s">
        <v>92</v>
      </c>
      <c r="C210" s="11" t="s">
        <v>93</v>
      </c>
      <c r="D210" s="11">
        <v>6</v>
      </c>
      <c r="E210" s="12" t="s">
        <v>199</v>
      </c>
      <c r="F210" s="13">
        <v>43308</v>
      </c>
      <c r="G210" s="13" t="s">
        <v>108</v>
      </c>
      <c r="H210" s="11" t="s">
        <v>189</v>
      </c>
      <c r="I210" s="11" t="s">
        <v>24</v>
      </c>
      <c r="J210" s="11" t="s">
        <v>25</v>
      </c>
      <c r="K210" s="11">
        <v>33</v>
      </c>
      <c r="L210" s="11" t="s">
        <v>194</v>
      </c>
      <c r="M210" s="11"/>
      <c r="N210" s="14" t="s">
        <v>95</v>
      </c>
    </row>
    <row r="211" spans="1:14" x14ac:dyDescent="0.2">
      <c r="A211" s="10"/>
      <c r="B211" s="11" t="s">
        <v>12</v>
      </c>
      <c r="C211" s="11" t="s">
        <v>49</v>
      </c>
      <c r="D211" s="11">
        <v>75</v>
      </c>
      <c r="E211" s="12" t="s">
        <v>199</v>
      </c>
      <c r="F211" s="13">
        <v>43308</v>
      </c>
      <c r="G211" s="13" t="s">
        <v>108</v>
      </c>
      <c r="H211" s="11" t="s">
        <v>189</v>
      </c>
      <c r="I211" s="11" t="s">
        <v>24</v>
      </c>
      <c r="J211" s="11" t="s">
        <v>25</v>
      </c>
      <c r="K211" s="11">
        <v>33</v>
      </c>
      <c r="L211" s="11" t="s">
        <v>194</v>
      </c>
      <c r="M211" s="11"/>
      <c r="N211" s="14" t="s">
        <v>50</v>
      </c>
    </row>
    <row r="212" spans="1:14" x14ac:dyDescent="0.2">
      <c r="A212" s="10"/>
      <c r="B212" s="11" t="s">
        <v>33</v>
      </c>
      <c r="C212" s="11" t="s">
        <v>53</v>
      </c>
      <c r="D212" s="11">
        <v>29</v>
      </c>
      <c r="E212" s="12" t="s">
        <v>199</v>
      </c>
      <c r="F212" s="13">
        <v>43308</v>
      </c>
      <c r="G212" s="13" t="s">
        <v>108</v>
      </c>
      <c r="H212" s="11" t="s">
        <v>189</v>
      </c>
      <c r="I212" s="11" t="s">
        <v>24</v>
      </c>
      <c r="J212" s="11" t="s">
        <v>25</v>
      </c>
      <c r="K212" s="11">
        <v>33</v>
      </c>
      <c r="L212" s="11" t="s">
        <v>194</v>
      </c>
      <c r="M212" s="11"/>
      <c r="N212" s="14" t="s">
        <v>54</v>
      </c>
    </row>
    <row r="213" spans="1:14" x14ac:dyDescent="0.2">
      <c r="A213" s="10"/>
      <c r="B213" s="11" t="s">
        <v>12</v>
      </c>
      <c r="C213" s="11" t="s">
        <v>47</v>
      </c>
      <c r="D213" s="11">
        <v>4</v>
      </c>
      <c r="E213" s="12" t="s">
        <v>199</v>
      </c>
      <c r="F213" s="13">
        <v>43308</v>
      </c>
      <c r="G213" s="13" t="s">
        <v>108</v>
      </c>
      <c r="H213" s="11" t="s">
        <v>189</v>
      </c>
      <c r="I213" s="11" t="s">
        <v>16</v>
      </c>
      <c r="J213" s="11" t="s">
        <v>17</v>
      </c>
      <c r="K213" s="11">
        <v>33</v>
      </c>
      <c r="L213" s="11" t="s">
        <v>194</v>
      </c>
      <c r="M213" s="11"/>
      <c r="N213" s="14" t="s">
        <v>48</v>
      </c>
    </row>
    <row r="214" spans="1:14" x14ac:dyDescent="0.2">
      <c r="A214" s="10"/>
      <c r="B214" s="11" t="s">
        <v>12</v>
      </c>
      <c r="C214" s="11" t="s">
        <v>13</v>
      </c>
      <c r="D214" s="11">
        <v>10</v>
      </c>
      <c r="E214" s="12" t="s">
        <v>199</v>
      </c>
      <c r="F214" s="13">
        <v>43308</v>
      </c>
      <c r="G214" s="13" t="s">
        <v>108</v>
      </c>
      <c r="H214" s="11" t="s">
        <v>189</v>
      </c>
      <c r="I214" s="11" t="s">
        <v>16</v>
      </c>
      <c r="J214" s="11" t="s">
        <v>17</v>
      </c>
      <c r="K214" s="11">
        <v>33</v>
      </c>
      <c r="L214" s="11" t="s">
        <v>194</v>
      </c>
      <c r="M214" s="11"/>
      <c r="N214" s="14" t="s">
        <v>18</v>
      </c>
    </row>
    <row r="215" spans="1:14" x14ac:dyDescent="0.2">
      <c r="A215" s="10"/>
      <c r="B215" s="11" t="s">
        <v>12</v>
      </c>
      <c r="C215" s="11" t="s">
        <v>38</v>
      </c>
      <c r="D215" s="11">
        <v>30</v>
      </c>
      <c r="E215" s="12" t="s">
        <v>199</v>
      </c>
      <c r="F215" s="13">
        <v>43308</v>
      </c>
      <c r="G215" s="13" t="s">
        <v>108</v>
      </c>
      <c r="H215" s="11" t="s">
        <v>189</v>
      </c>
      <c r="I215" s="11" t="s">
        <v>16</v>
      </c>
      <c r="J215" s="11" t="s">
        <v>17</v>
      </c>
      <c r="K215" s="11">
        <v>33</v>
      </c>
      <c r="L215" s="11" t="s">
        <v>194</v>
      </c>
      <c r="M215" s="11"/>
      <c r="N215" s="14" t="s">
        <v>39</v>
      </c>
    </row>
    <row r="216" spans="1:14" x14ac:dyDescent="0.2">
      <c r="A216" s="10"/>
      <c r="B216" s="11" t="s">
        <v>92</v>
      </c>
      <c r="C216" s="11" t="s">
        <v>96</v>
      </c>
      <c r="D216" s="11">
        <v>301</v>
      </c>
      <c r="E216" s="12" t="s">
        <v>199</v>
      </c>
      <c r="F216" s="13">
        <v>43308</v>
      </c>
      <c r="G216" s="13" t="s">
        <v>108</v>
      </c>
      <c r="H216" s="11" t="s">
        <v>189</v>
      </c>
      <c r="I216" s="11" t="s">
        <v>16</v>
      </c>
      <c r="J216" s="11" t="s">
        <v>17</v>
      </c>
      <c r="K216" s="11">
        <v>33</v>
      </c>
      <c r="L216" s="11" t="s">
        <v>194</v>
      </c>
      <c r="M216" s="11"/>
      <c r="N216" s="14" t="s">
        <v>97</v>
      </c>
    </row>
  </sheetData>
  <autoFilter ref="A3:O216">
    <filterColumn colId="6" showButton="0"/>
    <filterColumn colId="8" showButton="0"/>
  </autoFilter>
  <sortState ref="B4:N61">
    <sortCondition ref="K4:K61"/>
    <sortCondition ref="H4:H61"/>
    <sortCondition ref="J4:J61"/>
  </sortState>
  <mergeCells count="1">
    <mergeCell ref="A1:M1"/>
  </mergeCells>
  <printOptions horizontalCentered="1"/>
  <pageMargins left="0" right="0" top="0.5" bottom="0.5" header="0" footer="0"/>
  <pageSetup paperSize="9" scale="58" orientation="portrait" cellComments="asDisplayed" r:id="rId1"/>
  <headerFooter alignWithMargins="0">
    <oddFooter>&amp;RPage &amp;P of &amp;[Pages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O150"/>
  <sheetViews>
    <sheetView showGridLines="0" zoomScale="91" zoomScaleNormal="91" workbookViewId="0">
      <pane ySplit="3" topLeftCell="A4" activePane="bottomLeft" state="frozen"/>
      <selection activeCell="B7" sqref="B7"/>
      <selection pane="bottomLeft" activeCell="B123" sqref="B123"/>
    </sheetView>
  </sheetViews>
  <sheetFormatPr defaultColWidth="9.42578125" defaultRowHeight="12.75" x14ac:dyDescent="0.2"/>
  <cols>
    <col min="1" max="1" width="11" style="8" bestFit="1" customWidth="1"/>
    <col min="2" max="2" width="22.42578125" style="8" customWidth="1"/>
    <col min="3" max="3" width="15" style="8" customWidth="1"/>
    <col min="4" max="4" width="5.42578125" style="8" customWidth="1"/>
    <col min="5" max="5" width="5.5703125" style="7" bestFit="1" customWidth="1"/>
    <col min="6" max="6" width="12.42578125" style="16" customWidth="1"/>
    <col min="7" max="7" width="6" style="16" customWidth="1"/>
    <col min="8" max="8" width="24.5703125" style="8" bestFit="1" customWidth="1"/>
    <col min="9" max="9" width="6" style="8" customWidth="1"/>
    <col min="10" max="10" width="24" style="8" customWidth="1"/>
    <col min="11" max="11" width="3.5703125" style="8" bestFit="1" customWidth="1"/>
    <col min="12" max="12" width="14" style="8" bestFit="1" customWidth="1"/>
    <col min="13" max="13" width="31.5703125" style="8" customWidth="1"/>
    <col min="14" max="14" width="14.5703125" style="15" customWidth="1"/>
    <col min="15" max="15" width="9.42578125" style="7"/>
    <col min="16" max="16384" width="9.42578125" style="8"/>
  </cols>
  <sheetData>
    <row r="1" spans="1:15" s="2" customFormat="1" x14ac:dyDescent="0.2">
      <c r="A1" s="44" t="str">
        <f>"Pengiriman ( Sabtu ) Tgl. "&amp;TEXT(MID(Jumat!A1,FIND(".",Jumat!A1,1)+2,17)+1,"dd mmmm yyyy")</f>
        <v>Pengiriman ( Sabtu ) Tgl. 28 July 2018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6"/>
      <c r="O1" s="1"/>
    </row>
    <row r="2" spans="1:15" s="2" customFormat="1" ht="13.5" thickBot="1" x14ac:dyDescent="0.25">
      <c r="E2" s="1"/>
      <c r="F2" s="3"/>
      <c r="G2" s="3"/>
      <c r="N2" s="6"/>
      <c r="O2" s="1"/>
    </row>
    <row r="3" spans="1:15" s="2" customFormat="1" ht="13.5" thickBot="1" x14ac:dyDescent="0.25">
      <c r="A3" s="4" t="s">
        <v>9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19"/>
      <c r="H3" s="20" t="s">
        <v>5</v>
      </c>
      <c r="I3" s="19"/>
      <c r="J3" s="20" t="s">
        <v>6</v>
      </c>
      <c r="K3" s="5" t="s">
        <v>7</v>
      </c>
      <c r="L3" s="5" t="s">
        <v>10</v>
      </c>
      <c r="M3" s="5" t="s">
        <v>8</v>
      </c>
      <c r="N3" s="5" t="s">
        <v>11</v>
      </c>
      <c r="O3" s="1"/>
    </row>
    <row r="4" spans="1:15" x14ac:dyDescent="0.2">
      <c r="A4" s="10"/>
      <c r="B4" s="11" t="s">
        <v>12</v>
      </c>
      <c r="C4" s="11" t="s">
        <v>38</v>
      </c>
      <c r="D4" s="11">
        <v>60</v>
      </c>
      <c r="E4" s="7" t="s">
        <v>199</v>
      </c>
      <c r="F4" s="13">
        <v>43309</v>
      </c>
      <c r="G4" s="13" t="s">
        <v>46</v>
      </c>
      <c r="H4" s="11" t="s">
        <v>169</v>
      </c>
      <c r="I4" s="11" t="s">
        <v>16</v>
      </c>
      <c r="J4" s="11" t="s">
        <v>17</v>
      </c>
      <c r="K4" s="11">
        <v>1</v>
      </c>
      <c r="L4" s="11" t="s">
        <v>194</v>
      </c>
      <c r="M4" s="11"/>
      <c r="N4" s="14" t="s">
        <v>39</v>
      </c>
    </row>
    <row r="5" spans="1:15" x14ac:dyDescent="0.2">
      <c r="A5" s="10"/>
      <c r="B5" s="11" t="s">
        <v>12</v>
      </c>
      <c r="C5" s="11" t="s">
        <v>42</v>
      </c>
      <c r="D5" s="11">
        <v>1064</v>
      </c>
      <c r="E5" s="7" t="s">
        <v>199</v>
      </c>
      <c r="F5" s="13">
        <v>43309</v>
      </c>
      <c r="G5" s="13" t="s">
        <v>46</v>
      </c>
      <c r="H5" s="11" t="s">
        <v>169</v>
      </c>
      <c r="I5" s="11" t="s">
        <v>16</v>
      </c>
      <c r="J5" s="11" t="s">
        <v>17</v>
      </c>
      <c r="K5" s="11">
        <v>1</v>
      </c>
      <c r="L5" s="11" t="s">
        <v>194</v>
      </c>
      <c r="M5" s="11"/>
      <c r="N5" s="14" t="s">
        <v>43</v>
      </c>
    </row>
    <row r="6" spans="1:15" x14ac:dyDescent="0.2">
      <c r="A6" s="10"/>
      <c r="B6" s="11" t="s">
        <v>12</v>
      </c>
      <c r="C6" s="11" t="s">
        <v>27</v>
      </c>
      <c r="D6" s="11">
        <v>15</v>
      </c>
      <c r="E6" s="7" t="s">
        <v>199</v>
      </c>
      <c r="F6" s="13">
        <v>43309</v>
      </c>
      <c r="G6" s="13" t="s">
        <v>46</v>
      </c>
      <c r="H6" s="11" t="s">
        <v>169</v>
      </c>
      <c r="I6" s="11" t="s">
        <v>24</v>
      </c>
      <c r="J6" s="11" t="s">
        <v>25</v>
      </c>
      <c r="K6" s="11">
        <v>2</v>
      </c>
      <c r="L6" s="11" t="s">
        <v>194</v>
      </c>
      <c r="M6" s="11"/>
      <c r="N6" s="14" t="s">
        <v>28</v>
      </c>
    </row>
    <row r="7" spans="1:15" x14ac:dyDescent="0.2">
      <c r="A7" s="10"/>
      <c r="B7" s="11" t="s">
        <v>92</v>
      </c>
      <c r="C7" s="11" t="s">
        <v>109</v>
      </c>
      <c r="D7" s="11">
        <v>287</v>
      </c>
      <c r="E7" s="7" t="s">
        <v>199</v>
      </c>
      <c r="F7" s="13">
        <v>43309</v>
      </c>
      <c r="G7" s="13" t="s">
        <v>46</v>
      </c>
      <c r="H7" s="11" t="s">
        <v>169</v>
      </c>
      <c r="I7" s="11" t="s">
        <v>24</v>
      </c>
      <c r="J7" s="11" t="s">
        <v>25</v>
      </c>
      <c r="K7" s="11">
        <v>2</v>
      </c>
      <c r="L7" s="11" t="s">
        <v>194</v>
      </c>
      <c r="M7" s="11"/>
      <c r="N7" s="14" t="s">
        <v>110</v>
      </c>
    </row>
    <row r="8" spans="1:15" x14ac:dyDescent="0.2">
      <c r="A8" s="10"/>
      <c r="B8" s="11" t="s">
        <v>92</v>
      </c>
      <c r="C8" s="11" t="s">
        <v>96</v>
      </c>
      <c r="D8" s="11">
        <v>112</v>
      </c>
      <c r="E8" s="7" t="s">
        <v>199</v>
      </c>
      <c r="F8" s="13">
        <v>43309</v>
      </c>
      <c r="G8" s="13" t="s">
        <v>46</v>
      </c>
      <c r="H8" s="11" t="s">
        <v>169</v>
      </c>
      <c r="I8" s="11" t="s">
        <v>24</v>
      </c>
      <c r="J8" s="11" t="s">
        <v>25</v>
      </c>
      <c r="K8" s="11">
        <v>2</v>
      </c>
      <c r="L8" s="11" t="s">
        <v>194</v>
      </c>
      <c r="M8" s="11"/>
      <c r="N8" s="14" t="s">
        <v>97</v>
      </c>
    </row>
    <row r="9" spans="1:15" x14ac:dyDescent="0.2">
      <c r="A9" s="10"/>
      <c r="B9" s="11" t="s">
        <v>12</v>
      </c>
      <c r="C9" s="11" t="s">
        <v>38</v>
      </c>
      <c r="D9" s="11">
        <v>125</v>
      </c>
      <c r="E9" s="7" t="s">
        <v>199</v>
      </c>
      <c r="F9" s="13">
        <v>43309</v>
      </c>
      <c r="G9" s="13" t="s">
        <v>46</v>
      </c>
      <c r="H9" s="11" t="s">
        <v>169</v>
      </c>
      <c r="I9" s="11" t="s">
        <v>16</v>
      </c>
      <c r="J9" s="11" t="s">
        <v>17</v>
      </c>
      <c r="K9" s="11">
        <v>2</v>
      </c>
      <c r="L9" s="11" t="s">
        <v>194</v>
      </c>
      <c r="M9" s="11"/>
      <c r="N9" s="14" t="s">
        <v>39</v>
      </c>
    </row>
    <row r="10" spans="1:15" x14ac:dyDescent="0.2">
      <c r="A10" s="10"/>
      <c r="B10" s="11" t="s">
        <v>12</v>
      </c>
      <c r="C10" s="11" t="s">
        <v>19</v>
      </c>
      <c r="D10" s="11">
        <v>450</v>
      </c>
      <c r="E10" s="7" t="s">
        <v>199</v>
      </c>
      <c r="F10" s="13">
        <v>43309</v>
      </c>
      <c r="G10" s="13" t="s">
        <v>46</v>
      </c>
      <c r="H10" s="11" t="s">
        <v>169</v>
      </c>
      <c r="I10" s="11" t="s">
        <v>16</v>
      </c>
      <c r="J10" s="11" t="s">
        <v>17</v>
      </c>
      <c r="K10" s="11">
        <v>2</v>
      </c>
      <c r="L10" s="11" t="s">
        <v>194</v>
      </c>
      <c r="M10" s="11"/>
      <c r="N10" s="14" t="s">
        <v>20</v>
      </c>
    </row>
    <row r="11" spans="1:15" x14ac:dyDescent="0.2">
      <c r="A11" s="10"/>
      <c r="B11" s="11" t="s">
        <v>12</v>
      </c>
      <c r="C11" s="11" t="s">
        <v>21</v>
      </c>
      <c r="D11" s="11">
        <v>59</v>
      </c>
      <c r="E11" s="7" t="s">
        <v>199</v>
      </c>
      <c r="F11" s="13">
        <v>43309</v>
      </c>
      <c r="G11" s="13" t="s">
        <v>55</v>
      </c>
      <c r="H11" s="11" t="s">
        <v>170</v>
      </c>
      <c r="I11" s="11" t="s">
        <v>24</v>
      </c>
      <c r="J11" s="11" t="s">
        <v>25</v>
      </c>
      <c r="K11" s="11">
        <v>3</v>
      </c>
      <c r="L11" s="11" t="s">
        <v>56</v>
      </c>
      <c r="M11" s="11"/>
      <c r="N11" s="14" t="s">
        <v>26</v>
      </c>
    </row>
    <row r="12" spans="1:15" x14ac:dyDescent="0.2">
      <c r="A12" s="10"/>
      <c r="B12" s="11" t="s">
        <v>92</v>
      </c>
      <c r="C12" s="11" t="s">
        <v>109</v>
      </c>
      <c r="D12" s="11">
        <v>40</v>
      </c>
      <c r="E12" s="7" t="s">
        <v>199</v>
      </c>
      <c r="F12" s="13">
        <v>43309</v>
      </c>
      <c r="G12" s="13" t="s">
        <v>55</v>
      </c>
      <c r="H12" s="11" t="s">
        <v>170</v>
      </c>
      <c r="I12" s="11" t="s">
        <v>24</v>
      </c>
      <c r="J12" s="11" t="s">
        <v>25</v>
      </c>
      <c r="K12" s="11">
        <v>3</v>
      </c>
      <c r="L12" s="11" t="s">
        <v>56</v>
      </c>
      <c r="M12" s="11"/>
      <c r="N12" s="14" t="s">
        <v>110</v>
      </c>
    </row>
    <row r="13" spans="1:15" x14ac:dyDescent="0.2">
      <c r="A13" s="10"/>
      <c r="B13" s="11" t="s">
        <v>92</v>
      </c>
      <c r="C13" s="11" t="s">
        <v>96</v>
      </c>
      <c r="D13" s="11">
        <v>58</v>
      </c>
      <c r="E13" s="7" t="s">
        <v>199</v>
      </c>
      <c r="F13" s="13">
        <v>43309</v>
      </c>
      <c r="G13" s="13" t="s">
        <v>55</v>
      </c>
      <c r="H13" s="11" t="s">
        <v>170</v>
      </c>
      <c r="I13" s="11" t="s">
        <v>24</v>
      </c>
      <c r="J13" s="11" t="s">
        <v>25</v>
      </c>
      <c r="K13" s="11">
        <v>3</v>
      </c>
      <c r="L13" s="11" t="s">
        <v>56</v>
      </c>
      <c r="M13" s="11"/>
      <c r="N13" s="14" t="s">
        <v>97</v>
      </c>
    </row>
    <row r="14" spans="1:15" x14ac:dyDescent="0.2">
      <c r="A14" s="10"/>
      <c r="B14" s="11" t="s">
        <v>12</v>
      </c>
      <c r="C14" s="11" t="s">
        <v>38</v>
      </c>
      <c r="D14" s="11">
        <v>56</v>
      </c>
      <c r="E14" s="7" t="s">
        <v>199</v>
      </c>
      <c r="F14" s="13">
        <v>43309</v>
      </c>
      <c r="G14" s="13" t="s">
        <v>55</v>
      </c>
      <c r="H14" s="11" t="s">
        <v>170</v>
      </c>
      <c r="I14" s="11" t="s">
        <v>16</v>
      </c>
      <c r="J14" s="11" t="s">
        <v>17</v>
      </c>
      <c r="K14" s="11">
        <v>3</v>
      </c>
      <c r="L14" s="11" t="s">
        <v>56</v>
      </c>
      <c r="M14" s="11"/>
      <c r="N14" s="14" t="s">
        <v>39</v>
      </c>
    </row>
    <row r="15" spans="1:15" x14ac:dyDescent="0.2">
      <c r="A15" s="10"/>
      <c r="B15" s="11" t="s">
        <v>12</v>
      </c>
      <c r="C15" s="11" t="s">
        <v>19</v>
      </c>
      <c r="D15" s="11">
        <v>185</v>
      </c>
      <c r="E15" s="7" t="s">
        <v>199</v>
      </c>
      <c r="F15" s="13">
        <v>43309</v>
      </c>
      <c r="G15" s="13" t="s">
        <v>55</v>
      </c>
      <c r="H15" s="11" t="s">
        <v>170</v>
      </c>
      <c r="I15" s="11" t="s">
        <v>16</v>
      </c>
      <c r="J15" s="11" t="s">
        <v>17</v>
      </c>
      <c r="K15" s="11">
        <v>3</v>
      </c>
      <c r="L15" s="11" t="s">
        <v>56</v>
      </c>
      <c r="M15" s="11"/>
      <c r="N15" s="14" t="s">
        <v>20</v>
      </c>
    </row>
    <row r="16" spans="1:15" x14ac:dyDescent="0.2">
      <c r="A16" s="10"/>
      <c r="B16" s="11" t="s">
        <v>12</v>
      </c>
      <c r="C16" s="11" t="s">
        <v>42</v>
      </c>
      <c r="D16" s="11">
        <v>299</v>
      </c>
      <c r="E16" s="7" t="s">
        <v>199</v>
      </c>
      <c r="F16" s="13">
        <v>43309</v>
      </c>
      <c r="G16" s="13" t="s">
        <v>55</v>
      </c>
      <c r="H16" s="11" t="s">
        <v>170</v>
      </c>
      <c r="I16" s="11" t="s">
        <v>16</v>
      </c>
      <c r="J16" s="11" t="s">
        <v>17</v>
      </c>
      <c r="K16" s="11">
        <v>3</v>
      </c>
      <c r="L16" s="11" t="s">
        <v>56</v>
      </c>
      <c r="M16" s="11"/>
      <c r="N16" s="14" t="s">
        <v>43</v>
      </c>
    </row>
    <row r="17" spans="1:14" x14ac:dyDescent="0.2">
      <c r="A17" s="10"/>
      <c r="B17" s="11" t="s">
        <v>92</v>
      </c>
      <c r="C17" s="11" t="s">
        <v>109</v>
      </c>
      <c r="D17" s="11">
        <v>80</v>
      </c>
      <c r="E17" s="7" t="s">
        <v>199</v>
      </c>
      <c r="F17" s="13">
        <v>43309</v>
      </c>
      <c r="G17" s="13" t="s">
        <v>59</v>
      </c>
      <c r="H17" s="11" t="s">
        <v>171</v>
      </c>
      <c r="I17" s="11" t="s">
        <v>24</v>
      </c>
      <c r="J17" s="11" t="s">
        <v>25</v>
      </c>
      <c r="K17" s="11">
        <v>4</v>
      </c>
      <c r="L17" s="11" t="s">
        <v>56</v>
      </c>
      <c r="M17" s="11"/>
      <c r="N17" s="14" t="s">
        <v>110</v>
      </c>
    </row>
    <row r="18" spans="1:14" x14ac:dyDescent="0.2">
      <c r="A18" s="10"/>
      <c r="B18" s="11" t="s">
        <v>12</v>
      </c>
      <c r="C18" s="11" t="s">
        <v>49</v>
      </c>
      <c r="D18" s="11">
        <v>10</v>
      </c>
      <c r="E18" s="7" t="s">
        <v>199</v>
      </c>
      <c r="F18" s="13">
        <v>43309</v>
      </c>
      <c r="G18" s="13" t="s">
        <v>59</v>
      </c>
      <c r="H18" s="11" t="s">
        <v>171</v>
      </c>
      <c r="I18" s="11" t="s">
        <v>24</v>
      </c>
      <c r="J18" s="11" t="s">
        <v>25</v>
      </c>
      <c r="K18" s="11">
        <v>4</v>
      </c>
      <c r="L18" s="11" t="s">
        <v>56</v>
      </c>
      <c r="M18" s="11"/>
      <c r="N18" s="14" t="s">
        <v>50</v>
      </c>
    </row>
    <row r="19" spans="1:14" x14ac:dyDescent="0.2">
      <c r="A19" s="10"/>
      <c r="B19" s="11" t="s">
        <v>33</v>
      </c>
      <c r="C19" s="11" t="s">
        <v>36</v>
      </c>
      <c r="D19" s="11">
        <v>30</v>
      </c>
      <c r="E19" s="7" t="s">
        <v>199</v>
      </c>
      <c r="F19" s="13">
        <v>43309</v>
      </c>
      <c r="G19" s="13" t="s">
        <v>59</v>
      </c>
      <c r="H19" s="11" t="s">
        <v>171</v>
      </c>
      <c r="I19" s="11" t="s">
        <v>24</v>
      </c>
      <c r="J19" s="11" t="s">
        <v>25</v>
      </c>
      <c r="K19" s="11">
        <v>4</v>
      </c>
      <c r="L19" s="11" t="s">
        <v>56</v>
      </c>
      <c r="M19" s="11"/>
      <c r="N19" s="14" t="s">
        <v>37</v>
      </c>
    </row>
    <row r="20" spans="1:14" x14ac:dyDescent="0.2">
      <c r="A20" s="10"/>
      <c r="B20" s="11" t="s">
        <v>12</v>
      </c>
      <c r="C20" s="11" t="s">
        <v>38</v>
      </c>
      <c r="D20" s="11">
        <v>58</v>
      </c>
      <c r="E20" s="7" t="s">
        <v>199</v>
      </c>
      <c r="F20" s="13">
        <v>43309</v>
      </c>
      <c r="G20" s="13" t="s">
        <v>59</v>
      </c>
      <c r="H20" s="11" t="s">
        <v>171</v>
      </c>
      <c r="I20" s="11" t="s">
        <v>16</v>
      </c>
      <c r="J20" s="11" t="s">
        <v>17</v>
      </c>
      <c r="K20" s="11">
        <v>4</v>
      </c>
      <c r="L20" s="11" t="s">
        <v>56</v>
      </c>
      <c r="M20" s="11"/>
      <c r="N20" s="14" t="s">
        <v>39</v>
      </c>
    </row>
    <row r="21" spans="1:14" x14ac:dyDescent="0.2">
      <c r="A21" s="10"/>
      <c r="B21" s="11" t="s">
        <v>12</v>
      </c>
      <c r="C21" s="11" t="s">
        <v>19</v>
      </c>
      <c r="D21" s="11">
        <v>275</v>
      </c>
      <c r="E21" s="7" t="s">
        <v>199</v>
      </c>
      <c r="F21" s="13">
        <v>43309</v>
      </c>
      <c r="G21" s="13" t="s">
        <v>59</v>
      </c>
      <c r="H21" s="11" t="s">
        <v>171</v>
      </c>
      <c r="I21" s="11" t="s">
        <v>16</v>
      </c>
      <c r="J21" s="11" t="s">
        <v>17</v>
      </c>
      <c r="K21" s="11">
        <v>4</v>
      </c>
      <c r="L21" s="11" t="s">
        <v>56</v>
      </c>
      <c r="M21" s="11"/>
      <c r="N21" s="14" t="s">
        <v>20</v>
      </c>
    </row>
    <row r="22" spans="1:14" x14ac:dyDescent="0.2">
      <c r="A22" s="10"/>
      <c r="B22" s="11" t="s">
        <v>12</v>
      </c>
      <c r="C22" s="11" t="s">
        <v>65</v>
      </c>
      <c r="D22" s="11">
        <v>10</v>
      </c>
      <c r="E22" s="7" t="s">
        <v>199</v>
      </c>
      <c r="F22" s="13">
        <v>43309</v>
      </c>
      <c r="G22" s="13" t="s">
        <v>59</v>
      </c>
      <c r="H22" s="11" t="s">
        <v>171</v>
      </c>
      <c r="I22" s="11" t="s">
        <v>16</v>
      </c>
      <c r="J22" s="11" t="s">
        <v>17</v>
      </c>
      <c r="K22" s="11">
        <v>4</v>
      </c>
      <c r="L22" s="11" t="s">
        <v>56</v>
      </c>
      <c r="M22" s="11"/>
      <c r="N22" s="14" t="s">
        <v>66</v>
      </c>
    </row>
    <row r="23" spans="1:14" x14ac:dyDescent="0.2">
      <c r="A23" s="10"/>
      <c r="B23" s="11" t="s">
        <v>12</v>
      </c>
      <c r="C23" s="11" t="s">
        <v>40</v>
      </c>
      <c r="D23" s="11">
        <v>30</v>
      </c>
      <c r="E23" s="7" t="s">
        <v>199</v>
      </c>
      <c r="F23" s="13">
        <v>43309</v>
      </c>
      <c r="G23" s="13" t="s">
        <v>59</v>
      </c>
      <c r="H23" s="11" t="s">
        <v>171</v>
      </c>
      <c r="I23" s="11" t="s">
        <v>16</v>
      </c>
      <c r="J23" s="11" t="s">
        <v>17</v>
      </c>
      <c r="K23" s="11">
        <v>4</v>
      </c>
      <c r="L23" s="11" t="s">
        <v>56</v>
      </c>
      <c r="M23" s="11"/>
      <c r="N23" s="14" t="s">
        <v>41</v>
      </c>
    </row>
    <row r="24" spans="1:14" x14ac:dyDescent="0.2">
      <c r="A24" s="10"/>
      <c r="B24" s="11" t="s">
        <v>12</v>
      </c>
      <c r="C24" s="11" t="s">
        <v>42</v>
      </c>
      <c r="D24" s="11">
        <v>139</v>
      </c>
      <c r="E24" s="7" t="s">
        <v>199</v>
      </c>
      <c r="F24" s="13">
        <v>43309</v>
      </c>
      <c r="G24" s="13" t="s">
        <v>59</v>
      </c>
      <c r="H24" s="11" t="s">
        <v>171</v>
      </c>
      <c r="I24" s="11" t="s">
        <v>16</v>
      </c>
      <c r="J24" s="11" t="s">
        <v>17</v>
      </c>
      <c r="K24" s="11">
        <v>4</v>
      </c>
      <c r="L24" s="11" t="s">
        <v>56</v>
      </c>
      <c r="M24" s="11"/>
      <c r="N24" s="14" t="s">
        <v>43</v>
      </c>
    </row>
    <row r="25" spans="1:14" x14ac:dyDescent="0.2">
      <c r="A25" s="10"/>
      <c r="B25" s="11" t="s">
        <v>12</v>
      </c>
      <c r="C25" s="11" t="s">
        <v>21</v>
      </c>
      <c r="D25" s="11">
        <v>50</v>
      </c>
      <c r="E25" s="7" t="s">
        <v>199</v>
      </c>
      <c r="F25" s="13">
        <v>43309</v>
      </c>
      <c r="G25" s="13" t="s">
        <v>60</v>
      </c>
      <c r="H25" s="11" t="s">
        <v>159</v>
      </c>
      <c r="I25" s="11" t="s">
        <v>24</v>
      </c>
      <c r="J25" s="11" t="s">
        <v>25</v>
      </c>
      <c r="K25" s="11">
        <v>5</v>
      </c>
      <c r="L25" s="11" t="s">
        <v>56</v>
      </c>
      <c r="M25" s="11"/>
      <c r="N25" s="14" t="s">
        <v>26</v>
      </c>
    </row>
    <row r="26" spans="1:14" x14ac:dyDescent="0.2">
      <c r="A26" s="10"/>
      <c r="B26" s="11" t="s">
        <v>12</v>
      </c>
      <c r="C26" s="11" t="s">
        <v>27</v>
      </c>
      <c r="D26" s="11">
        <v>150</v>
      </c>
      <c r="E26" s="7" t="s">
        <v>199</v>
      </c>
      <c r="F26" s="13">
        <v>43309</v>
      </c>
      <c r="G26" s="13" t="s">
        <v>60</v>
      </c>
      <c r="H26" s="11" t="s">
        <v>159</v>
      </c>
      <c r="I26" s="11" t="s">
        <v>24</v>
      </c>
      <c r="J26" s="11" t="s">
        <v>25</v>
      </c>
      <c r="K26" s="11">
        <v>5</v>
      </c>
      <c r="L26" s="11" t="s">
        <v>56</v>
      </c>
      <c r="M26" s="11"/>
      <c r="N26" s="14" t="s">
        <v>28</v>
      </c>
    </row>
    <row r="27" spans="1:14" x14ac:dyDescent="0.2">
      <c r="A27" s="10"/>
      <c r="B27" s="11" t="s">
        <v>92</v>
      </c>
      <c r="C27" s="11" t="s">
        <v>109</v>
      </c>
      <c r="D27" s="11">
        <v>4</v>
      </c>
      <c r="E27" s="7" t="s">
        <v>199</v>
      </c>
      <c r="F27" s="13">
        <v>43309</v>
      </c>
      <c r="G27" s="13" t="s">
        <v>60</v>
      </c>
      <c r="H27" s="11" t="s">
        <v>159</v>
      </c>
      <c r="I27" s="11" t="s">
        <v>24</v>
      </c>
      <c r="J27" s="11" t="s">
        <v>25</v>
      </c>
      <c r="K27" s="11">
        <v>5</v>
      </c>
      <c r="L27" s="11" t="s">
        <v>56</v>
      </c>
      <c r="M27" s="11"/>
      <c r="N27" s="14" t="s">
        <v>110</v>
      </c>
    </row>
    <row r="28" spans="1:14" x14ac:dyDescent="0.2">
      <c r="A28" s="10"/>
      <c r="B28" s="11" t="s">
        <v>92</v>
      </c>
      <c r="C28" s="11" t="s">
        <v>96</v>
      </c>
      <c r="D28" s="11">
        <v>40</v>
      </c>
      <c r="E28" s="7" t="s">
        <v>199</v>
      </c>
      <c r="F28" s="13">
        <v>43309</v>
      </c>
      <c r="G28" s="13" t="s">
        <v>60</v>
      </c>
      <c r="H28" s="11" t="s">
        <v>159</v>
      </c>
      <c r="I28" s="11" t="s">
        <v>24</v>
      </c>
      <c r="J28" s="11" t="s">
        <v>25</v>
      </c>
      <c r="K28" s="11">
        <v>5</v>
      </c>
      <c r="L28" s="11" t="s">
        <v>56</v>
      </c>
      <c r="M28" s="11"/>
      <c r="N28" s="14" t="s">
        <v>97</v>
      </c>
    </row>
    <row r="29" spans="1:14" x14ac:dyDescent="0.2">
      <c r="A29" s="10"/>
      <c r="B29" s="11" t="s">
        <v>12</v>
      </c>
      <c r="C29" s="11" t="s">
        <v>49</v>
      </c>
      <c r="D29" s="11">
        <v>50</v>
      </c>
      <c r="E29" s="7" t="s">
        <v>199</v>
      </c>
      <c r="F29" s="13">
        <v>43309</v>
      </c>
      <c r="G29" s="13" t="s">
        <v>60</v>
      </c>
      <c r="H29" s="11" t="s">
        <v>159</v>
      </c>
      <c r="I29" s="11" t="s">
        <v>24</v>
      </c>
      <c r="J29" s="11" t="s">
        <v>25</v>
      </c>
      <c r="K29" s="11">
        <v>5</v>
      </c>
      <c r="L29" s="11" t="s">
        <v>56</v>
      </c>
      <c r="M29" s="11"/>
      <c r="N29" s="14" t="s">
        <v>50</v>
      </c>
    </row>
    <row r="30" spans="1:14" x14ac:dyDescent="0.2">
      <c r="A30" s="10"/>
      <c r="B30" s="11" t="s">
        <v>33</v>
      </c>
      <c r="C30" s="11" t="s">
        <v>34</v>
      </c>
      <c r="D30" s="11">
        <v>25</v>
      </c>
      <c r="E30" s="7" t="s">
        <v>199</v>
      </c>
      <c r="F30" s="13">
        <v>43309</v>
      </c>
      <c r="G30" s="13" t="s">
        <v>60</v>
      </c>
      <c r="H30" s="11" t="s">
        <v>159</v>
      </c>
      <c r="I30" s="11" t="s">
        <v>24</v>
      </c>
      <c r="J30" s="11" t="s">
        <v>25</v>
      </c>
      <c r="K30" s="11">
        <v>5</v>
      </c>
      <c r="L30" s="11" t="s">
        <v>56</v>
      </c>
      <c r="M30" s="11"/>
      <c r="N30" s="14" t="s">
        <v>35</v>
      </c>
    </row>
    <row r="31" spans="1:14" x14ac:dyDescent="0.2">
      <c r="A31" s="10"/>
      <c r="B31" s="11" t="s">
        <v>33</v>
      </c>
      <c r="C31" s="11" t="s">
        <v>53</v>
      </c>
      <c r="D31" s="11">
        <v>10</v>
      </c>
      <c r="E31" s="7" t="s">
        <v>199</v>
      </c>
      <c r="F31" s="13">
        <v>43309</v>
      </c>
      <c r="G31" s="13" t="s">
        <v>60</v>
      </c>
      <c r="H31" s="11" t="s">
        <v>159</v>
      </c>
      <c r="I31" s="11" t="s">
        <v>24</v>
      </c>
      <c r="J31" s="11" t="s">
        <v>25</v>
      </c>
      <c r="K31" s="11">
        <v>5</v>
      </c>
      <c r="L31" s="11" t="s">
        <v>56</v>
      </c>
      <c r="M31" s="11"/>
      <c r="N31" s="14" t="s">
        <v>54</v>
      </c>
    </row>
    <row r="32" spans="1:14" x14ac:dyDescent="0.2">
      <c r="A32" s="10"/>
      <c r="B32" s="11" t="s">
        <v>12</v>
      </c>
      <c r="C32" s="11" t="s">
        <v>44</v>
      </c>
      <c r="D32" s="11">
        <v>38</v>
      </c>
      <c r="E32" s="7" t="s">
        <v>199</v>
      </c>
      <c r="F32" s="13">
        <v>43309</v>
      </c>
      <c r="G32" s="13" t="s">
        <v>60</v>
      </c>
      <c r="H32" s="11" t="s">
        <v>159</v>
      </c>
      <c r="I32" s="11" t="s">
        <v>16</v>
      </c>
      <c r="J32" s="11" t="s">
        <v>17</v>
      </c>
      <c r="K32" s="11">
        <v>5</v>
      </c>
      <c r="L32" s="11" t="s">
        <v>56</v>
      </c>
      <c r="M32" s="11"/>
      <c r="N32" s="14" t="s">
        <v>45</v>
      </c>
    </row>
    <row r="33" spans="1:14" x14ac:dyDescent="0.2">
      <c r="A33" s="10"/>
      <c r="B33" s="11" t="s">
        <v>12</v>
      </c>
      <c r="C33" s="11" t="s">
        <v>38</v>
      </c>
      <c r="D33" s="11">
        <v>180</v>
      </c>
      <c r="E33" s="7" t="s">
        <v>199</v>
      </c>
      <c r="F33" s="13">
        <v>43309</v>
      </c>
      <c r="G33" s="13" t="s">
        <v>60</v>
      </c>
      <c r="H33" s="11" t="s">
        <v>159</v>
      </c>
      <c r="I33" s="11" t="s">
        <v>16</v>
      </c>
      <c r="J33" s="11" t="s">
        <v>17</v>
      </c>
      <c r="K33" s="11">
        <v>5</v>
      </c>
      <c r="L33" s="11" t="s">
        <v>56</v>
      </c>
      <c r="M33" s="11"/>
      <c r="N33" s="14" t="s">
        <v>39</v>
      </c>
    </row>
    <row r="34" spans="1:14" x14ac:dyDescent="0.2">
      <c r="A34" s="10"/>
      <c r="B34" s="11" t="s">
        <v>12</v>
      </c>
      <c r="C34" s="11" t="s">
        <v>40</v>
      </c>
      <c r="D34" s="11">
        <v>30</v>
      </c>
      <c r="E34" s="7" t="s">
        <v>199</v>
      </c>
      <c r="F34" s="13">
        <v>43309</v>
      </c>
      <c r="G34" s="13" t="s">
        <v>60</v>
      </c>
      <c r="H34" s="11" t="s">
        <v>159</v>
      </c>
      <c r="I34" s="11" t="s">
        <v>16</v>
      </c>
      <c r="J34" s="11" t="s">
        <v>17</v>
      </c>
      <c r="K34" s="11">
        <v>5</v>
      </c>
      <c r="L34" s="11" t="s">
        <v>56</v>
      </c>
      <c r="M34" s="11"/>
      <c r="N34" s="14" t="s">
        <v>41</v>
      </c>
    </row>
    <row r="35" spans="1:14" x14ac:dyDescent="0.2">
      <c r="A35" s="10"/>
      <c r="B35" s="11" t="s">
        <v>12</v>
      </c>
      <c r="C35" s="11" t="s">
        <v>38</v>
      </c>
      <c r="D35" s="11">
        <v>150</v>
      </c>
      <c r="E35" s="7" t="s">
        <v>199</v>
      </c>
      <c r="F35" s="13">
        <v>43309</v>
      </c>
      <c r="G35" s="13" t="s">
        <v>62</v>
      </c>
      <c r="H35" s="11" t="s">
        <v>172</v>
      </c>
      <c r="I35" s="11" t="s">
        <v>16</v>
      </c>
      <c r="J35" s="11" t="s">
        <v>17</v>
      </c>
      <c r="K35" s="11">
        <v>6</v>
      </c>
      <c r="L35" s="11" t="s">
        <v>56</v>
      </c>
      <c r="M35" s="11"/>
      <c r="N35" s="14" t="s">
        <v>39</v>
      </c>
    </row>
    <row r="36" spans="1:14" x14ac:dyDescent="0.2">
      <c r="A36" s="10"/>
      <c r="B36" s="11" t="s">
        <v>12</v>
      </c>
      <c r="C36" s="11" t="s">
        <v>19</v>
      </c>
      <c r="D36" s="11">
        <v>180</v>
      </c>
      <c r="E36" s="7" t="s">
        <v>199</v>
      </c>
      <c r="F36" s="13">
        <v>43309</v>
      </c>
      <c r="G36" s="13" t="s">
        <v>62</v>
      </c>
      <c r="H36" s="11" t="s">
        <v>172</v>
      </c>
      <c r="I36" s="11" t="s">
        <v>16</v>
      </c>
      <c r="J36" s="11" t="s">
        <v>17</v>
      </c>
      <c r="K36" s="11">
        <v>6</v>
      </c>
      <c r="L36" s="11" t="s">
        <v>56</v>
      </c>
      <c r="M36" s="11"/>
      <c r="N36" s="14" t="s">
        <v>20</v>
      </c>
    </row>
    <row r="37" spans="1:14" x14ac:dyDescent="0.2">
      <c r="A37" s="10"/>
      <c r="B37" s="11" t="s">
        <v>12</v>
      </c>
      <c r="C37" s="11" t="s">
        <v>40</v>
      </c>
      <c r="D37" s="11">
        <v>45</v>
      </c>
      <c r="E37" s="7" t="s">
        <v>199</v>
      </c>
      <c r="F37" s="13">
        <v>43309</v>
      </c>
      <c r="G37" s="13" t="s">
        <v>62</v>
      </c>
      <c r="H37" s="11" t="s">
        <v>172</v>
      </c>
      <c r="I37" s="11" t="s">
        <v>16</v>
      </c>
      <c r="J37" s="11" t="s">
        <v>17</v>
      </c>
      <c r="K37" s="11">
        <v>6</v>
      </c>
      <c r="L37" s="11" t="s">
        <v>56</v>
      </c>
      <c r="M37" s="11"/>
      <c r="N37" s="14" t="s">
        <v>41</v>
      </c>
    </row>
    <row r="38" spans="1:14" x14ac:dyDescent="0.2">
      <c r="A38" s="10"/>
      <c r="B38" s="11" t="s">
        <v>12</v>
      </c>
      <c r="C38" s="11" t="s">
        <v>42</v>
      </c>
      <c r="D38" s="11">
        <v>330</v>
      </c>
      <c r="E38" s="7" t="s">
        <v>199</v>
      </c>
      <c r="F38" s="13">
        <v>43309</v>
      </c>
      <c r="G38" s="13" t="s">
        <v>62</v>
      </c>
      <c r="H38" s="11" t="s">
        <v>172</v>
      </c>
      <c r="I38" s="11" t="s">
        <v>16</v>
      </c>
      <c r="J38" s="11" t="s">
        <v>17</v>
      </c>
      <c r="K38" s="11">
        <v>6</v>
      </c>
      <c r="L38" s="11" t="s">
        <v>56</v>
      </c>
      <c r="M38" s="11"/>
      <c r="N38" s="14" t="s">
        <v>43</v>
      </c>
    </row>
    <row r="39" spans="1:14" x14ac:dyDescent="0.2">
      <c r="A39" s="10"/>
      <c r="B39" s="11" t="s">
        <v>12</v>
      </c>
      <c r="C39" s="11" t="s">
        <v>19</v>
      </c>
      <c r="D39" s="11">
        <v>100</v>
      </c>
      <c r="E39" s="7" t="s">
        <v>199</v>
      </c>
      <c r="F39" s="13">
        <v>43309</v>
      </c>
      <c r="G39" s="13" t="s">
        <v>121</v>
      </c>
      <c r="H39" s="11" t="s">
        <v>173</v>
      </c>
      <c r="I39" s="11" t="s">
        <v>16</v>
      </c>
      <c r="J39" s="11" t="s">
        <v>17</v>
      </c>
      <c r="K39" s="11">
        <v>7</v>
      </c>
      <c r="L39" s="11" t="s">
        <v>196</v>
      </c>
      <c r="M39" s="11"/>
      <c r="N39" s="14" t="s">
        <v>20</v>
      </c>
    </row>
    <row r="40" spans="1:14" x14ac:dyDescent="0.2">
      <c r="A40" s="10"/>
      <c r="B40" s="11" t="s">
        <v>12</v>
      </c>
      <c r="C40" s="11" t="s">
        <v>42</v>
      </c>
      <c r="D40" s="11">
        <v>440</v>
      </c>
      <c r="E40" s="7" t="s">
        <v>199</v>
      </c>
      <c r="F40" s="13">
        <v>43309</v>
      </c>
      <c r="G40" s="13" t="s">
        <v>121</v>
      </c>
      <c r="H40" s="11" t="s">
        <v>173</v>
      </c>
      <c r="I40" s="11" t="s">
        <v>16</v>
      </c>
      <c r="J40" s="11" t="s">
        <v>17</v>
      </c>
      <c r="K40" s="11">
        <v>7</v>
      </c>
      <c r="L40" s="11" t="s">
        <v>196</v>
      </c>
      <c r="M40" s="11"/>
      <c r="N40" s="14" t="s">
        <v>43</v>
      </c>
    </row>
    <row r="41" spans="1:14" x14ac:dyDescent="0.2">
      <c r="A41" s="10"/>
      <c r="B41" s="11" t="s">
        <v>92</v>
      </c>
      <c r="C41" s="11" t="s">
        <v>109</v>
      </c>
      <c r="D41" s="11">
        <v>22</v>
      </c>
      <c r="E41" s="7" t="s">
        <v>199</v>
      </c>
      <c r="F41" s="13">
        <v>43309</v>
      </c>
      <c r="G41" s="13" t="s">
        <v>63</v>
      </c>
      <c r="H41" s="11" t="s">
        <v>174</v>
      </c>
      <c r="I41" s="11" t="s">
        <v>24</v>
      </c>
      <c r="J41" s="11" t="s">
        <v>25</v>
      </c>
      <c r="K41" s="11">
        <v>8</v>
      </c>
      <c r="L41" s="11" t="s">
        <v>196</v>
      </c>
      <c r="M41" s="11" t="s">
        <v>64</v>
      </c>
      <c r="N41" s="14" t="s">
        <v>110</v>
      </c>
    </row>
    <row r="42" spans="1:14" x14ac:dyDescent="0.2">
      <c r="A42" s="10"/>
      <c r="B42" s="11" t="s">
        <v>12</v>
      </c>
      <c r="C42" s="11" t="s">
        <v>38</v>
      </c>
      <c r="D42" s="11">
        <v>102</v>
      </c>
      <c r="E42" s="7" t="s">
        <v>199</v>
      </c>
      <c r="F42" s="13">
        <v>43309</v>
      </c>
      <c r="G42" s="13" t="s">
        <v>63</v>
      </c>
      <c r="H42" s="11" t="s">
        <v>174</v>
      </c>
      <c r="I42" s="11" t="s">
        <v>16</v>
      </c>
      <c r="J42" s="11" t="s">
        <v>17</v>
      </c>
      <c r="K42" s="11">
        <v>8</v>
      </c>
      <c r="L42" s="11" t="s">
        <v>196</v>
      </c>
      <c r="M42" s="11" t="s">
        <v>64</v>
      </c>
      <c r="N42" s="14" t="s">
        <v>39</v>
      </c>
    </row>
    <row r="43" spans="1:14" x14ac:dyDescent="0.2">
      <c r="A43" s="10"/>
      <c r="B43" s="11" t="s">
        <v>12</v>
      </c>
      <c r="C43" s="11" t="s">
        <v>19</v>
      </c>
      <c r="D43" s="11">
        <v>180</v>
      </c>
      <c r="E43" s="7" t="s">
        <v>199</v>
      </c>
      <c r="F43" s="13">
        <v>43309</v>
      </c>
      <c r="G43" s="13" t="s">
        <v>63</v>
      </c>
      <c r="H43" s="11" t="s">
        <v>174</v>
      </c>
      <c r="I43" s="11" t="s">
        <v>16</v>
      </c>
      <c r="J43" s="11" t="s">
        <v>17</v>
      </c>
      <c r="K43" s="11">
        <v>8</v>
      </c>
      <c r="L43" s="11" t="s">
        <v>196</v>
      </c>
      <c r="M43" s="11" t="s">
        <v>64</v>
      </c>
      <c r="N43" s="14" t="s">
        <v>20</v>
      </c>
    </row>
    <row r="44" spans="1:14" x14ac:dyDescent="0.2">
      <c r="A44" s="10"/>
      <c r="B44" s="11" t="s">
        <v>12</v>
      </c>
      <c r="C44" s="11" t="s">
        <v>40</v>
      </c>
      <c r="D44" s="11">
        <v>20</v>
      </c>
      <c r="E44" s="7" t="s">
        <v>199</v>
      </c>
      <c r="F44" s="13">
        <v>43309</v>
      </c>
      <c r="G44" s="13" t="s">
        <v>63</v>
      </c>
      <c r="H44" s="11" t="s">
        <v>174</v>
      </c>
      <c r="I44" s="11" t="s">
        <v>16</v>
      </c>
      <c r="J44" s="11" t="s">
        <v>17</v>
      </c>
      <c r="K44" s="11">
        <v>8</v>
      </c>
      <c r="L44" s="11" t="s">
        <v>196</v>
      </c>
      <c r="M44" s="11" t="s">
        <v>64</v>
      </c>
      <c r="N44" s="14" t="s">
        <v>41</v>
      </c>
    </row>
    <row r="45" spans="1:14" x14ac:dyDescent="0.2">
      <c r="A45" s="10"/>
      <c r="B45" s="11" t="s">
        <v>92</v>
      </c>
      <c r="C45" s="11" t="s">
        <v>109</v>
      </c>
      <c r="D45" s="11">
        <v>80</v>
      </c>
      <c r="E45" s="7" t="s">
        <v>199</v>
      </c>
      <c r="F45" s="13">
        <v>43309</v>
      </c>
      <c r="G45" s="13" t="s">
        <v>67</v>
      </c>
      <c r="H45" s="11" t="s">
        <v>175</v>
      </c>
      <c r="I45" s="11" t="s">
        <v>24</v>
      </c>
      <c r="J45" s="11" t="s">
        <v>25</v>
      </c>
      <c r="K45" s="11">
        <v>8</v>
      </c>
      <c r="L45" s="11" t="s">
        <v>196</v>
      </c>
      <c r="M45" s="11" t="s">
        <v>64</v>
      </c>
      <c r="N45" s="14" t="s">
        <v>110</v>
      </c>
    </row>
    <row r="46" spans="1:14" x14ac:dyDescent="0.2">
      <c r="A46" s="10"/>
      <c r="B46" s="11" t="s">
        <v>12</v>
      </c>
      <c r="C46" s="11" t="s">
        <v>38</v>
      </c>
      <c r="D46" s="11">
        <v>58</v>
      </c>
      <c r="E46" s="7" t="s">
        <v>199</v>
      </c>
      <c r="F46" s="13">
        <v>43309</v>
      </c>
      <c r="G46" s="13" t="s">
        <v>67</v>
      </c>
      <c r="H46" s="11" t="s">
        <v>175</v>
      </c>
      <c r="I46" s="11" t="s">
        <v>16</v>
      </c>
      <c r="J46" s="11" t="s">
        <v>17</v>
      </c>
      <c r="K46" s="11">
        <v>8</v>
      </c>
      <c r="L46" s="11" t="s">
        <v>196</v>
      </c>
      <c r="M46" s="11" t="s">
        <v>64</v>
      </c>
      <c r="N46" s="14" t="s">
        <v>39</v>
      </c>
    </row>
    <row r="47" spans="1:14" x14ac:dyDescent="0.2">
      <c r="A47" s="10"/>
      <c r="B47" s="11" t="s">
        <v>12</v>
      </c>
      <c r="C47" s="11" t="s">
        <v>19</v>
      </c>
      <c r="D47" s="11">
        <v>30</v>
      </c>
      <c r="E47" s="7" t="s">
        <v>199</v>
      </c>
      <c r="F47" s="13">
        <v>43309</v>
      </c>
      <c r="G47" s="13" t="s">
        <v>67</v>
      </c>
      <c r="H47" s="11" t="s">
        <v>175</v>
      </c>
      <c r="I47" s="11" t="s">
        <v>16</v>
      </c>
      <c r="J47" s="11" t="s">
        <v>17</v>
      </c>
      <c r="K47" s="11">
        <v>8</v>
      </c>
      <c r="L47" s="11" t="s">
        <v>196</v>
      </c>
      <c r="M47" s="11" t="s">
        <v>64</v>
      </c>
      <c r="N47" s="14" t="s">
        <v>20</v>
      </c>
    </row>
    <row r="48" spans="1:14" x14ac:dyDescent="0.2">
      <c r="A48" s="10"/>
      <c r="B48" s="11" t="s">
        <v>12</v>
      </c>
      <c r="C48" s="11" t="s">
        <v>21</v>
      </c>
      <c r="D48" s="11">
        <v>40</v>
      </c>
      <c r="E48" s="7" t="s">
        <v>199</v>
      </c>
      <c r="F48" s="13">
        <v>43309</v>
      </c>
      <c r="G48" s="13" t="s">
        <v>68</v>
      </c>
      <c r="H48" s="11" t="s">
        <v>176</v>
      </c>
      <c r="I48" s="11" t="s">
        <v>24</v>
      </c>
      <c r="J48" s="11" t="s">
        <v>25</v>
      </c>
      <c r="K48" s="11">
        <v>9</v>
      </c>
      <c r="L48" s="11" t="s">
        <v>56</v>
      </c>
      <c r="M48" s="11"/>
      <c r="N48" s="14" t="s">
        <v>26</v>
      </c>
    </row>
    <row r="49" spans="1:14" x14ac:dyDescent="0.2">
      <c r="A49" s="10"/>
      <c r="B49" s="11" t="s">
        <v>12</v>
      </c>
      <c r="C49" s="11" t="s">
        <v>27</v>
      </c>
      <c r="D49" s="11">
        <v>110</v>
      </c>
      <c r="E49" s="7" t="s">
        <v>199</v>
      </c>
      <c r="F49" s="13">
        <v>43309</v>
      </c>
      <c r="G49" s="13" t="s">
        <v>68</v>
      </c>
      <c r="H49" s="11" t="s">
        <v>176</v>
      </c>
      <c r="I49" s="11" t="s">
        <v>24</v>
      </c>
      <c r="J49" s="11" t="s">
        <v>25</v>
      </c>
      <c r="K49" s="11">
        <v>9</v>
      </c>
      <c r="L49" s="11" t="s">
        <v>56</v>
      </c>
      <c r="M49" s="11"/>
      <c r="N49" s="14" t="s">
        <v>28</v>
      </c>
    </row>
    <row r="50" spans="1:14" x14ac:dyDescent="0.2">
      <c r="A50" s="10"/>
      <c r="B50" s="11" t="s">
        <v>33</v>
      </c>
      <c r="C50" s="11" t="s">
        <v>34</v>
      </c>
      <c r="D50" s="11">
        <v>15</v>
      </c>
      <c r="E50" s="7" t="s">
        <v>199</v>
      </c>
      <c r="F50" s="13">
        <v>43309</v>
      </c>
      <c r="G50" s="13" t="s">
        <v>68</v>
      </c>
      <c r="H50" s="11" t="s">
        <v>176</v>
      </c>
      <c r="I50" s="11" t="s">
        <v>24</v>
      </c>
      <c r="J50" s="11" t="s">
        <v>25</v>
      </c>
      <c r="K50" s="11">
        <v>9</v>
      </c>
      <c r="L50" s="11" t="s">
        <v>56</v>
      </c>
      <c r="M50" s="11"/>
      <c r="N50" s="14" t="s">
        <v>35</v>
      </c>
    </row>
    <row r="51" spans="1:14" x14ac:dyDescent="0.2">
      <c r="A51" s="10"/>
      <c r="B51" s="11" t="s">
        <v>12</v>
      </c>
      <c r="C51" s="11" t="s">
        <v>38</v>
      </c>
      <c r="D51" s="11">
        <v>72</v>
      </c>
      <c r="E51" s="7" t="s">
        <v>199</v>
      </c>
      <c r="F51" s="13">
        <v>43309</v>
      </c>
      <c r="G51" s="13" t="s">
        <v>68</v>
      </c>
      <c r="H51" s="11" t="s">
        <v>176</v>
      </c>
      <c r="I51" s="11" t="s">
        <v>16</v>
      </c>
      <c r="J51" s="11" t="s">
        <v>17</v>
      </c>
      <c r="K51" s="11">
        <v>9</v>
      </c>
      <c r="L51" s="11" t="s">
        <v>56</v>
      </c>
      <c r="M51" s="11"/>
      <c r="N51" s="14" t="s">
        <v>39</v>
      </c>
    </row>
    <row r="52" spans="1:14" x14ac:dyDescent="0.2">
      <c r="A52" s="10"/>
      <c r="B52" s="11" t="s">
        <v>12</v>
      </c>
      <c r="C52" s="11" t="s">
        <v>19</v>
      </c>
      <c r="D52" s="11">
        <v>160</v>
      </c>
      <c r="E52" s="7" t="s">
        <v>199</v>
      </c>
      <c r="F52" s="13">
        <v>43309</v>
      </c>
      <c r="G52" s="13" t="s">
        <v>68</v>
      </c>
      <c r="H52" s="11" t="s">
        <v>176</v>
      </c>
      <c r="I52" s="11" t="s">
        <v>16</v>
      </c>
      <c r="J52" s="11" t="s">
        <v>17</v>
      </c>
      <c r="K52" s="11">
        <v>9</v>
      </c>
      <c r="L52" s="11" t="s">
        <v>56</v>
      </c>
      <c r="M52" s="11"/>
      <c r="N52" s="14" t="s">
        <v>20</v>
      </c>
    </row>
    <row r="53" spans="1:14" x14ac:dyDescent="0.2">
      <c r="A53" s="10"/>
      <c r="B53" s="11" t="s">
        <v>12</v>
      </c>
      <c r="C53" s="11" t="s">
        <v>65</v>
      </c>
      <c r="D53" s="11">
        <v>19</v>
      </c>
      <c r="E53" s="7" t="s">
        <v>199</v>
      </c>
      <c r="F53" s="13">
        <v>43309</v>
      </c>
      <c r="G53" s="13" t="s">
        <v>68</v>
      </c>
      <c r="H53" s="11" t="s">
        <v>176</v>
      </c>
      <c r="I53" s="11" t="s">
        <v>16</v>
      </c>
      <c r="J53" s="11" t="s">
        <v>17</v>
      </c>
      <c r="K53" s="11">
        <v>9</v>
      </c>
      <c r="L53" s="11" t="s">
        <v>56</v>
      </c>
      <c r="M53" s="11"/>
      <c r="N53" s="14" t="s">
        <v>66</v>
      </c>
    </row>
    <row r="54" spans="1:14" x14ac:dyDescent="0.2">
      <c r="A54" s="10"/>
      <c r="B54" s="11" t="s">
        <v>12</v>
      </c>
      <c r="C54" s="11" t="s">
        <v>40</v>
      </c>
      <c r="D54" s="11">
        <v>38</v>
      </c>
      <c r="E54" s="7" t="s">
        <v>199</v>
      </c>
      <c r="F54" s="13">
        <v>43309</v>
      </c>
      <c r="G54" s="13" t="s">
        <v>68</v>
      </c>
      <c r="H54" s="11" t="s">
        <v>176</v>
      </c>
      <c r="I54" s="11" t="s">
        <v>16</v>
      </c>
      <c r="J54" s="11" t="s">
        <v>17</v>
      </c>
      <c r="K54" s="11">
        <v>9</v>
      </c>
      <c r="L54" s="11" t="s">
        <v>56</v>
      </c>
      <c r="M54" s="11"/>
      <c r="N54" s="14" t="s">
        <v>41</v>
      </c>
    </row>
    <row r="55" spans="1:14" x14ac:dyDescent="0.2">
      <c r="A55" s="10"/>
      <c r="B55" s="11" t="s">
        <v>12</v>
      </c>
      <c r="C55" s="11" t="s">
        <v>42</v>
      </c>
      <c r="D55" s="11">
        <v>198</v>
      </c>
      <c r="E55" s="7" t="s">
        <v>199</v>
      </c>
      <c r="F55" s="13">
        <v>43309</v>
      </c>
      <c r="G55" s="13" t="s">
        <v>68</v>
      </c>
      <c r="H55" s="11" t="s">
        <v>176</v>
      </c>
      <c r="I55" s="11" t="s">
        <v>16</v>
      </c>
      <c r="J55" s="11" t="s">
        <v>17</v>
      </c>
      <c r="K55" s="11">
        <v>9</v>
      </c>
      <c r="L55" s="11" t="s">
        <v>56</v>
      </c>
      <c r="M55" s="11"/>
      <c r="N55" s="14" t="s">
        <v>43</v>
      </c>
    </row>
    <row r="56" spans="1:14" x14ac:dyDescent="0.2">
      <c r="A56" s="10"/>
      <c r="B56" s="11" t="s">
        <v>12</v>
      </c>
      <c r="C56" s="11" t="s">
        <v>21</v>
      </c>
      <c r="D56" s="11">
        <v>33</v>
      </c>
      <c r="E56" s="7" t="s">
        <v>199</v>
      </c>
      <c r="F56" s="13">
        <v>43309</v>
      </c>
      <c r="G56" s="13" t="s">
        <v>70</v>
      </c>
      <c r="H56" s="11" t="s">
        <v>177</v>
      </c>
      <c r="I56" s="11" t="s">
        <v>24</v>
      </c>
      <c r="J56" s="11" t="s">
        <v>25</v>
      </c>
      <c r="K56" s="11">
        <v>10</v>
      </c>
      <c r="L56" s="11" t="s">
        <v>196</v>
      </c>
      <c r="M56" s="11"/>
      <c r="N56" s="14" t="s">
        <v>26</v>
      </c>
    </row>
    <row r="57" spans="1:14" x14ac:dyDescent="0.2">
      <c r="A57" s="10"/>
      <c r="B57" s="11" t="s">
        <v>12</v>
      </c>
      <c r="C57" s="11" t="s">
        <v>27</v>
      </c>
      <c r="D57" s="11">
        <v>67</v>
      </c>
      <c r="E57" s="7" t="s">
        <v>199</v>
      </c>
      <c r="F57" s="13">
        <v>43309</v>
      </c>
      <c r="G57" s="13" t="s">
        <v>70</v>
      </c>
      <c r="H57" s="11" t="s">
        <v>177</v>
      </c>
      <c r="I57" s="11" t="s">
        <v>24</v>
      </c>
      <c r="J57" s="11" t="s">
        <v>25</v>
      </c>
      <c r="K57" s="11">
        <v>10</v>
      </c>
      <c r="L57" s="11" t="s">
        <v>196</v>
      </c>
      <c r="M57" s="11"/>
      <c r="N57" s="14" t="s">
        <v>28</v>
      </c>
    </row>
    <row r="58" spans="1:14" x14ac:dyDescent="0.2">
      <c r="A58" s="10"/>
      <c r="B58" s="11" t="s">
        <v>33</v>
      </c>
      <c r="C58" s="11" t="s">
        <v>34</v>
      </c>
      <c r="D58" s="11">
        <v>39</v>
      </c>
      <c r="E58" s="7" t="s">
        <v>199</v>
      </c>
      <c r="F58" s="13">
        <v>43309</v>
      </c>
      <c r="G58" s="13" t="s">
        <v>70</v>
      </c>
      <c r="H58" s="11" t="s">
        <v>177</v>
      </c>
      <c r="I58" s="11" t="s">
        <v>24</v>
      </c>
      <c r="J58" s="11" t="s">
        <v>25</v>
      </c>
      <c r="K58" s="11">
        <v>10</v>
      </c>
      <c r="L58" s="11" t="s">
        <v>196</v>
      </c>
      <c r="M58" s="11"/>
      <c r="N58" s="14" t="s">
        <v>35</v>
      </c>
    </row>
    <row r="59" spans="1:14" x14ac:dyDescent="0.2">
      <c r="A59" s="10"/>
      <c r="B59" s="11" t="s">
        <v>12</v>
      </c>
      <c r="C59" s="11" t="s">
        <v>38</v>
      </c>
      <c r="D59" s="11">
        <v>25</v>
      </c>
      <c r="E59" s="7" t="s">
        <v>199</v>
      </c>
      <c r="F59" s="13">
        <v>43309</v>
      </c>
      <c r="G59" s="13" t="s">
        <v>70</v>
      </c>
      <c r="H59" s="11" t="s">
        <v>177</v>
      </c>
      <c r="I59" s="11" t="s">
        <v>16</v>
      </c>
      <c r="J59" s="11" t="s">
        <v>17</v>
      </c>
      <c r="K59" s="11">
        <v>10</v>
      </c>
      <c r="L59" s="11" t="s">
        <v>196</v>
      </c>
      <c r="M59" s="11"/>
      <c r="N59" s="14" t="s">
        <v>39</v>
      </c>
    </row>
    <row r="60" spans="1:14" x14ac:dyDescent="0.2">
      <c r="A60" s="10"/>
      <c r="B60" s="11" t="s">
        <v>12</v>
      </c>
      <c r="C60" s="11" t="s">
        <v>19</v>
      </c>
      <c r="D60" s="11">
        <v>56</v>
      </c>
      <c r="E60" s="7" t="s">
        <v>199</v>
      </c>
      <c r="F60" s="13">
        <v>43309</v>
      </c>
      <c r="G60" s="13" t="s">
        <v>70</v>
      </c>
      <c r="H60" s="11" t="s">
        <v>177</v>
      </c>
      <c r="I60" s="11" t="s">
        <v>16</v>
      </c>
      <c r="J60" s="11" t="s">
        <v>17</v>
      </c>
      <c r="K60" s="11">
        <v>10</v>
      </c>
      <c r="L60" s="11" t="s">
        <v>196</v>
      </c>
      <c r="M60" s="11"/>
      <c r="N60" s="17" t="s">
        <v>20</v>
      </c>
    </row>
    <row r="61" spans="1:14" x14ac:dyDescent="0.2">
      <c r="A61" s="10"/>
      <c r="B61" s="11" t="s">
        <v>12</v>
      </c>
      <c r="C61" s="11" t="s">
        <v>40</v>
      </c>
      <c r="D61" s="11">
        <v>70</v>
      </c>
      <c r="E61" s="7" t="s">
        <v>199</v>
      </c>
      <c r="F61" s="13">
        <v>43309</v>
      </c>
      <c r="G61" s="13" t="s">
        <v>70</v>
      </c>
      <c r="H61" s="11" t="s">
        <v>177</v>
      </c>
      <c r="I61" s="11" t="s">
        <v>16</v>
      </c>
      <c r="J61" s="11" t="s">
        <v>17</v>
      </c>
      <c r="K61" s="11">
        <v>10</v>
      </c>
      <c r="L61" s="11" t="s">
        <v>196</v>
      </c>
      <c r="M61" s="11"/>
      <c r="N61" s="18" t="s">
        <v>41</v>
      </c>
    </row>
    <row r="62" spans="1:14" x14ac:dyDescent="0.2">
      <c r="A62" s="10"/>
      <c r="B62" s="11" t="s">
        <v>12</v>
      </c>
      <c r="C62" s="11" t="s">
        <v>80</v>
      </c>
      <c r="D62" s="11">
        <v>6</v>
      </c>
      <c r="E62" s="7" t="s">
        <v>199</v>
      </c>
      <c r="F62" s="13">
        <v>43309</v>
      </c>
      <c r="G62" s="13" t="s">
        <v>70</v>
      </c>
      <c r="H62" s="11" t="s">
        <v>177</v>
      </c>
      <c r="I62" s="11" t="s">
        <v>16</v>
      </c>
      <c r="J62" s="11" t="s">
        <v>17</v>
      </c>
      <c r="K62" s="11">
        <v>10</v>
      </c>
      <c r="L62" s="11" t="s">
        <v>196</v>
      </c>
      <c r="M62" s="11"/>
      <c r="N62" s="14" t="s">
        <v>82</v>
      </c>
    </row>
    <row r="63" spans="1:14" x14ac:dyDescent="0.2">
      <c r="A63" s="10"/>
      <c r="B63" s="11" t="s">
        <v>12</v>
      </c>
      <c r="C63" s="11" t="s">
        <v>42</v>
      </c>
      <c r="D63" s="11">
        <v>132</v>
      </c>
      <c r="E63" s="7" t="s">
        <v>199</v>
      </c>
      <c r="F63" s="13">
        <v>43309</v>
      </c>
      <c r="G63" s="13" t="s">
        <v>70</v>
      </c>
      <c r="H63" s="11" t="s">
        <v>177</v>
      </c>
      <c r="I63" s="11" t="s">
        <v>16</v>
      </c>
      <c r="J63" s="11" t="s">
        <v>17</v>
      </c>
      <c r="K63" s="11">
        <v>10</v>
      </c>
      <c r="L63" s="11" t="s">
        <v>196</v>
      </c>
      <c r="M63" s="11"/>
      <c r="N63" s="14" t="s">
        <v>43</v>
      </c>
    </row>
    <row r="64" spans="1:14" x14ac:dyDescent="0.2">
      <c r="A64" s="10"/>
      <c r="B64" s="11" t="s">
        <v>12</v>
      </c>
      <c r="C64" s="11" t="s">
        <v>21</v>
      </c>
      <c r="D64" s="11">
        <v>60</v>
      </c>
      <c r="E64" s="7" t="s">
        <v>199</v>
      </c>
      <c r="F64" s="13">
        <v>43309</v>
      </c>
      <c r="G64" s="13" t="s">
        <v>71</v>
      </c>
      <c r="H64" s="11" t="s">
        <v>178</v>
      </c>
      <c r="I64" s="11" t="s">
        <v>24</v>
      </c>
      <c r="J64" s="11" t="s">
        <v>25</v>
      </c>
      <c r="K64" s="11">
        <v>11</v>
      </c>
      <c r="L64" s="11" t="s">
        <v>56</v>
      </c>
      <c r="M64" s="11"/>
      <c r="N64" s="14" t="s">
        <v>26</v>
      </c>
    </row>
    <row r="65" spans="1:14" x14ac:dyDescent="0.2">
      <c r="A65" s="10"/>
      <c r="B65" s="11" t="s">
        <v>12</v>
      </c>
      <c r="C65" s="11" t="s">
        <v>27</v>
      </c>
      <c r="D65" s="11">
        <v>60</v>
      </c>
      <c r="E65" s="7" t="s">
        <v>199</v>
      </c>
      <c r="F65" s="13">
        <v>43309</v>
      </c>
      <c r="G65" s="13" t="s">
        <v>71</v>
      </c>
      <c r="H65" s="11" t="s">
        <v>178</v>
      </c>
      <c r="I65" s="11" t="s">
        <v>24</v>
      </c>
      <c r="J65" s="11" t="s">
        <v>25</v>
      </c>
      <c r="K65" s="11">
        <v>11</v>
      </c>
      <c r="L65" s="11" t="s">
        <v>56</v>
      </c>
      <c r="M65" s="11"/>
      <c r="N65" s="14" t="s">
        <v>28</v>
      </c>
    </row>
    <row r="66" spans="1:14" x14ac:dyDescent="0.2">
      <c r="A66" s="10"/>
      <c r="B66" s="11" t="s">
        <v>12</v>
      </c>
      <c r="C66" s="11" t="s">
        <v>29</v>
      </c>
      <c r="D66" s="11">
        <v>10</v>
      </c>
      <c r="E66" s="7" t="s">
        <v>199</v>
      </c>
      <c r="F66" s="13">
        <v>43309</v>
      </c>
      <c r="G66" s="13" t="s">
        <v>71</v>
      </c>
      <c r="H66" s="11" t="s">
        <v>178</v>
      </c>
      <c r="I66" s="11" t="s">
        <v>24</v>
      </c>
      <c r="J66" s="11" t="s">
        <v>25</v>
      </c>
      <c r="K66" s="11">
        <v>11</v>
      </c>
      <c r="L66" s="11" t="s">
        <v>56</v>
      </c>
      <c r="M66" s="11"/>
      <c r="N66" s="14" t="s">
        <v>30</v>
      </c>
    </row>
    <row r="67" spans="1:14" x14ac:dyDescent="0.2">
      <c r="A67" s="10"/>
      <c r="B67" s="11" t="s">
        <v>92</v>
      </c>
      <c r="C67" s="11" t="s">
        <v>109</v>
      </c>
      <c r="D67" s="11">
        <v>4</v>
      </c>
      <c r="E67" s="7" t="s">
        <v>199</v>
      </c>
      <c r="F67" s="13">
        <v>43309</v>
      </c>
      <c r="G67" s="13" t="s">
        <v>71</v>
      </c>
      <c r="H67" s="11" t="s">
        <v>178</v>
      </c>
      <c r="I67" s="11" t="s">
        <v>24</v>
      </c>
      <c r="J67" s="11" t="s">
        <v>25</v>
      </c>
      <c r="K67" s="11">
        <v>11</v>
      </c>
      <c r="L67" s="11" t="s">
        <v>56</v>
      </c>
      <c r="M67" s="11"/>
      <c r="N67" s="14" t="s">
        <v>110</v>
      </c>
    </row>
    <row r="68" spans="1:14" x14ac:dyDescent="0.2">
      <c r="A68" s="10"/>
      <c r="B68" s="11" t="s">
        <v>12</v>
      </c>
      <c r="C68" s="11" t="s">
        <v>31</v>
      </c>
      <c r="D68" s="11">
        <v>35</v>
      </c>
      <c r="E68" s="7" t="s">
        <v>199</v>
      </c>
      <c r="F68" s="13">
        <v>43309</v>
      </c>
      <c r="G68" s="13" t="s">
        <v>71</v>
      </c>
      <c r="H68" s="11" t="s">
        <v>178</v>
      </c>
      <c r="I68" s="11" t="s">
        <v>24</v>
      </c>
      <c r="J68" s="11" t="s">
        <v>25</v>
      </c>
      <c r="K68" s="11">
        <v>11</v>
      </c>
      <c r="L68" s="11" t="s">
        <v>56</v>
      </c>
      <c r="M68" s="11"/>
      <c r="N68" s="14" t="s">
        <v>32</v>
      </c>
    </row>
    <row r="69" spans="1:14" x14ac:dyDescent="0.2">
      <c r="A69" s="10"/>
      <c r="B69" s="11" t="s">
        <v>92</v>
      </c>
      <c r="C69" s="11" t="s">
        <v>96</v>
      </c>
      <c r="D69" s="11">
        <v>50</v>
      </c>
      <c r="E69" s="7" t="s">
        <v>199</v>
      </c>
      <c r="F69" s="13">
        <v>43309</v>
      </c>
      <c r="G69" s="13" t="s">
        <v>71</v>
      </c>
      <c r="H69" s="11" t="s">
        <v>178</v>
      </c>
      <c r="I69" s="11" t="s">
        <v>24</v>
      </c>
      <c r="J69" s="11" t="s">
        <v>25</v>
      </c>
      <c r="K69" s="11">
        <v>11</v>
      </c>
      <c r="L69" s="11" t="s">
        <v>56</v>
      </c>
      <c r="M69" s="11"/>
      <c r="N69" s="14" t="s">
        <v>97</v>
      </c>
    </row>
    <row r="70" spans="1:14" x14ac:dyDescent="0.2">
      <c r="A70" s="10"/>
      <c r="B70" s="11" t="s">
        <v>33</v>
      </c>
      <c r="C70" s="11" t="s">
        <v>34</v>
      </c>
      <c r="D70" s="11">
        <v>30</v>
      </c>
      <c r="E70" s="7" t="s">
        <v>199</v>
      </c>
      <c r="F70" s="13">
        <v>43309</v>
      </c>
      <c r="G70" s="13" t="s">
        <v>71</v>
      </c>
      <c r="H70" s="11" t="s">
        <v>178</v>
      </c>
      <c r="I70" s="11" t="s">
        <v>24</v>
      </c>
      <c r="J70" s="11" t="s">
        <v>25</v>
      </c>
      <c r="K70" s="11">
        <v>11</v>
      </c>
      <c r="L70" s="11" t="s">
        <v>56</v>
      </c>
      <c r="M70" s="11"/>
      <c r="N70" s="14" t="s">
        <v>35</v>
      </c>
    </row>
    <row r="71" spans="1:14" x14ac:dyDescent="0.2">
      <c r="A71" s="10"/>
      <c r="B71" s="11" t="s">
        <v>12</v>
      </c>
      <c r="C71" s="11" t="s">
        <v>47</v>
      </c>
      <c r="D71" s="11">
        <v>6</v>
      </c>
      <c r="E71" s="7" t="s">
        <v>199</v>
      </c>
      <c r="F71" s="13">
        <v>43309</v>
      </c>
      <c r="G71" s="13" t="s">
        <v>71</v>
      </c>
      <c r="H71" s="11" t="s">
        <v>178</v>
      </c>
      <c r="I71" s="11" t="s">
        <v>16</v>
      </c>
      <c r="J71" s="11" t="s">
        <v>17</v>
      </c>
      <c r="K71" s="11">
        <v>11</v>
      </c>
      <c r="L71" s="11" t="s">
        <v>56</v>
      </c>
      <c r="M71" s="11"/>
      <c r="N71" s="14" t="s">
        <v>48</v>
      </c>
    </row>
    <row r="72" spans="1:14" x14ac:dyDescent="0.2">
      <c r="A72" s="10"/>
      <c r="B72" s="11" t="s">
        <v>12</v>
      </c>
      <c r="C72" s="11" t="s">
        <v>38</v>
      </c>
      <c r="D72" s="11">
        <v>77</v>
      </c>
      <c r="E72" s="7" t="s">
        <v>199</v>
      </c>
      <c r="F72" s="13">
        <v>43309</v>
      </c>
      <c r="G72" s="13" t="s">
        <v>71</v>
      </c>
      <c r="H72" s="11" t="s">
        <v>178</v>
      </c>
      <c r="I72" s="11" t="s">
        <v>16</v>
      </c>
      <c r="J72" s="11" t="s">
        <v>17</v>
      </c>
      <c r="K72" s="11">
        <v>11</v>
      </c>
      <c r="L72" s="11" t="s">
        <v>56</v>
      </c>
      <c r="M72" s="11"/>
      <c r="N72" s="14" t="s">
        <v>39</v>
      </c>
    </row>
    <row r="73" spans="1:14" x14ac:dyDescent="0.2">
      <c r="A73" s="10"/>
      <c r="B73" s="11" t="s">
        <v>12</v>
      </c>
      <c r="C73" s="11" t="s">
        <v>40</v>
      </c>
      <c r="D73" s="11">
        <v>31</v>
      </c>
      <c r="E73" s="7" t="s">
        <v>199</v>
      </c>
      <c r="F73" s="13">
        <v>43309</v>
      </c>
      <c r="G73" s="13" t="s">
        <v>71</v>
      </c>
      <c r="H73" s="11" t="s">
        <v>178</v>
      </c>
      <c r="I73" s="11" t="s">
        <v>16</v>
      </c>
      <c r="J73" s="11" t="s">
        <v>17</v>
      </c>
      <c r="K73" s="11">
        <v>11</v>
      </c>
      <c r="L73" s="11" t="s">
        <v>56</v>
      </c>
      <c r="M73" s="11"/>
      <c r="N73" s="14" t="s">
        <v>41</v>
      </c>
    </row>
    <row r="74" spans="1:14" x14ac:dyDescent="0.2">
      <c r="A74" s="10"/>
      <c r="B74" s="11" t="s">
        <v>12</v>
      </c>
      <c r="C74" s="11" t="s">
        <v>42</v>
      </c>
      <c r="D74" s="11">
        <v>230</v>
      </c>
      <c r="E74" s="7" t="s">
        <v>199</v>
      </c>
      <c r="F74" s="13">
        <v>43309</v>
      </c>
      <c r="G74" s="13" t="s">
        <v>71</v>
      </c>
      <c r="H74" s="11" t="s">
        <v>178</v>
      </c>
      <c r="I74" s="11" t="s">
        <v>16</v>
      </c>
      <c r="J74" s="11" t="s">
        <v>17</v>
      </c>
      <c r="K74" s="11">
        <v>11</v>
      </c>
      <c r="L74" s="11" t="s">
        <v>56</v>
      </c>
      <c r="M74" s="11"/>
      <c r="N74" s="14" t="s">
        <v>43</v>
      </c>
    </row>
    <row r="75" spans="1:14" x14ac:dyDescent="0.2">
      <c r="A75" s="10"/>
      <c r="B75" s="11" t="s">
        <v>12</v>
      </c>
      <c r="C75" s="11" t="s">
        <v>21</v>
      </c>
      <c r="D75" s="11">
        <v>34</v>
      </c>
      <c r="E75" s="7" t="s">
        <v>199</v>
      </c>
      <c r="F75" s="13">
        <v>43309</v>
      </c>
      <c r="G75" s="13" t="s">
        <v>73</v>
      </c>
      <c r="H75" s="11" t="s">
        <v>74</v>
      </c>
      <c r="I75" s="11" t="s">
        <v>24</v>
      </c>
      <c r="J75" s="11" t="s">
        <v>25</v>
      </c>
      <c r="K75" s="11">
        <v>12</v>
      </c>
      <c r="L75" s="11" t="s">
        <v>196</v>
      </c>
      <c r="M75" s="11"/>
      <c r="N75" s="14" t="s">
        <v>26</v>
      </c>
    </row>
    <row r="76" spans="1:14" x14ac:dyDescent="0.2">
      <c r="A76" s="10"/>
      <c r="B76" s="11" t="s">
        <v>12</v>
      </c>
      <c r="C76" s="11" t="s">
        <v>27</v>
      </c>
      <c r="D76" s="11">
        <v>50</v>
      </c>
      <c r="E76" s="7" t="s">
        <v>199</v>
      </c>
      <c r="F76" s="13">
        <v>43309</v>
      </c>
      <c r="G76" s="13" t="s">
        <v>73</v>
      </c>
      <c r="H76" s="11" t="s">
        <v>74</v>
      </c>
      <c r="I76" s="11" t="s">
        <v>24</v>
      </c>
      <c r="J76" s="11" t="s">
        <v>25</v>
      </c>
      <c r="K76" s="11">
        <v>12</v>
      </c>
      <c r="L76" s="11" t="s">
        <v>196</v>
      </c>
      <c r="M76" s="11"/>
      <c r="N76" s="14" t="s">
        <v>28</v>
      </c>
    </row>
    <row r="77" spans="1:14" x14ac:dyDescent="0.2">
      <c r="A77" s="10"/>
      <c r="B77" s="11" t="s">
        <v>12</v>
      </c>
      <c r="C77" s="11" t="s">
        <v>29</v>
      </c>
      <c r="D77" s="11">
        <v>14</v>
      </c>
      <c r="E77" s="7" t="s">
        <v>199</v>
      </c>
      <c r="F77" s="13">
        <v>43309</v>
      </c>
      <c r="G77" s="13" t="s">
        <v>73</v>
      </c>
      <c r="H77" s="11" t="s">
        <v>74</v>
      </c>
      <c r="I77" s="11" t="s">
        <v>24</v>
      </c>
      <c r="J77" s="11" t="s">
        <v>25</v>
      </c>
      <c r="K77" s="11">
        <v>12</v>
      </c>
      <c r="L77" s="11" t="s">
        <v>196</v>
      </c>
      <c r="M77" s="11"/>
      <c r="N77" s="14" t="s">
        <v>30</v>
      </c>
    </row>
    <row r="78" spans="1:14" x14ac:dyDescent="0.2">
      <c r="A78" s="10"/>
      <c r="B78" s="11" t="s">
        <v>92</v>
      </c>
      <c r="C78" s="11" t="s">
        <v>109</v>
      </c>
      <c r="D78" s="11">
        <v>4</v>
      </c>
      <c r="E78" s="7" t="s">
        <v>199</v>
      </c>
      <c r="F78" s="13">
        <v>43309</v>
      </c>
      <c r="G78" s="13" t="s">
        <v>73</v>
      </c>
      <c r="H78" s="11" t="s">
        <v>74</v>
      </c>
      <c r="I78" s="11" t="s">
        <v>24</v>
      </c>
      <c r="J78" s="11" t="s">
        <v>25</v>
      </c>
      <c r="K78" s="11">
        <v>12</v>
      </c>
      <c r="L78" s="11" t="s">
        <v>196</v>
      </c>
      <c r="M78" s="11"/>
      <c r="N78" s="14" t="s">
        <v>110</v>
      </c>
    </row>
    <row r="79" spans="1:14" x14ac:dyDescent="0.2">
      <c r="A79" s="10"/>
      <c r="B79" s="11" t="s">
        <v>12</v>
      </c>
      <c r="C79" s="11" t="s">
        <v>31</v>
      </c>
      <c r="D79" s="11">
        <v>12</v>
      </c>
      <c r="E79" s="7" t="s">
        <v>199</v>
      </c>
      <c r="F79" s="13">
        <v>43309</v>
      </c>
      <c r="G79" s="13" t="s">
        <v>73</v>
      </c>
      <c r="H79" s="11" t="s">
        <v>74</v>
      </c>
      <c r="I79" s="11" t="s">
        <v>24</v>
      </c>
      <c r="J79" s="11" t="s">
        <v>25</v>
      </c>
      <c r="K79" s="11">
        <v>12</v>
      </c>
      <c r="L79" s="11" t="s">
        <v>196</v>
      </c>
      <c r="M79" s="11"/>
      <c r="N79" s="14" t="s">
        <v>32</v>
      </c>
    </row>
    <row r="80" spans="1:14" x14ac:dyDescent="0.2">
      <c r="A80" s="10"/>
      <c r="B80" s="11" t="s">
        <v>33</v>
      </c>
      <c r="C80" s="11" t="s">
        <v>34</v>
      </c>
      <c r="D80" s="11">
        <v>30</v>
      </c>
      <c r="E80" s="7" t="s">
        <v>199</v>
      </c>
      <c r="F80" s="13">
        <v>43309</v>
      </c>
      <c r="G80" s="13" t="s">
        <v>73</v>
      </c>
      <c r="H80" s="11" t="s">
        <v>74</v>
      </c>
      <c r="I80" s="11" t="s">
        <v>24</v>
      </c>
      <c r="J80" s="11" t="s">
        <v>25</v>
      </c>
      <c r="K80" s="11">
        <v>12</v>
      </c>
      <c r="L80" s="11" t="s">
        <v>196</v>
      </c>
      <c r="M80" s="11"/>
      <c r="N80" s="14" t="s">
        <v>35</v>
      </c>
    </row>
    <row r="81" spans="1:14" x14ac:dyDescent="0.2">
      <c r="A81" s="10"/>
      <c r="B81" s="11" t="s">
        <v>12</v>
      </c>
      <c r="C81" s="11" t="s">
        <v>38</v>
      </c>
      <c r="D81" s="11">
        <v>64</v>
      </c>
      <c r="E81" s="7" t="s">
        <v>199</v>
      </c>
      <c r="F81" s="13">
        <v>43309</v>
      </c>
      <c r="G81" s="13" t="s">
        <v>73</v>
      </c>
      <c r="H81" s="11" t="s">
        <v>74</v>
      </c>
      <c r="I81" s="11" t="s">
        <v>16</v>
      </c>
      <c r="J81" s="11" t="s">
        <v>17</v>
      </c>
      <c r="K81" s="11">
        <v>12</v>
      </c>
      <c r="L81" s="11" t="s">
        <v>196</v>
      </c>
      <c r="M81" s="11"/>
      <c r="N81" s="14" t="s">
        <v>39</v>
      </c>
    </row>
    <row r="82" spans="1:14" x14ac:dyDescent="0.2">
      <c r="A82" s="10"/>
      <c r="B82" s="11" t="s">
        <v>12</v>
      </c>
      <c r="C82" s="11" t="s">
        <v>19</v>
      </c>
      <c r="D82" s="11">
        <v>50</v>
      </c>
      <c r="E82" s="7" t="s">
        <v>199</v>
      </c>
      <c r="F82" s="13">
        <v>43309</v>
      </c>
      <c r="G82" s="13" t="s">
        <v>73</v>
      </c>
      <c r="H82" s="11" t="s">
        <v>74</v>
      </c>
      <c r="I82" s="11" t="s">
        <v>16</v>
      </c>
      <c r="J82" s="11" t="s">
        <v>17</v>
      </c>
      <c r="K82" s="11">
        <v>12</v>
      </c>
      <c r="L82" s="11" t="s">
        <v>196</v>
      </c>
      <c r="M82" s="11"/>
      <c r="N82" s="14" t="s">
        <v>20</v>
      </c>
    </row>
    <row r="83" spans="1:14" x14ac:dyDescent="0.2">
      <c r="A83" s="10"/>
      <c r="B83" s="11" t="s">
        <v>12</v>
      </c>
      <c r="C83" s="11" t="s">
        <v>40</v>
      </c>
      <c r="D83" s="11">
        <v>30</v>
      </c>
      <c r="E83" s="7" t="s">
        <v>199</v>
      </c>
      <c r="F83" s="13">
        <v>43309</v>
      </c>
      <c r="G83" s="13" t="s">
        <v>73</v>
      </c>
      <c r="H83" s="11" t="s">
        <v>74</v>
      </c>
      <c r="I83" s="11" t="s">
        <v>16</v>
      </c>
      <c r="J83" s="11" t="s">
        <v>17</v>
      </c>
      <c r="K83" s="11">
        <v>12</v>
      </c>
      <c r="L83" s="11" t="s">
        <v>196</v>
      </c>
      <c r="M83" s="11"/>
      <c r="N83" s="14" t="s">
        <v>41</v>
      </c>
    </row>
    <row r="84" spans="1:14" x14ac:dyDescent="0.2">
      <c r="A84" s="10"/>
      <c r="B84" s="11" t="s">
        <v>12</v>
      </c>
      <c r="C84" s="11" t="s">
        <v>42</v>
      </c>
      <c r="D84" s="11">
        <v>140</v>
      </c>
      <c r="E84" s="7" t="s">
        <v>199</v>
      </c>
      <c r="F84" s="13">
        <v>43309</v>
      </c>
      <c r="G84" s="13" t="s">
        <v>73</v>
      </c>
      <c r="H84" s="11" t="s">
        <v>74</v>
      </c>
      <c r="I84" s="11" t="s">
        <v>16</v>
      </c>
      <c r="J84" s="11" t="s">
        <v>17</v>
      </c>
      <c r="K84" s="11">
        <v>12</v>
      </c>
      <c r="L84" s="11" t="s">
        <v>196</v>
      </c>
      <c r="M84" s="11"/>
      <c r="N84" s="14" t="s">
        <v>43</v>
      </c>
    </row>
    <row r="85" spans="1:14" x14ac:dyDescent="0.2">
      <c r="A85" s="10"/>
      <c r="B85" s="11" t="s">
        <v>12</v>
      </c>
      <c r="C85" s="11" t="s">
        <v>21</v>
      </c>
      <c r="D85" s="11">
        <v>177</v>
      </c>
      <c r="E85" s="7" t="s">
        <v>199</v>
      </c>
      <c r="F85" s="13">
        <v>43309</v>
      </c>
      <c r="G85" s="13" t="s">
        <v>75</v>
      </c>
      <c r="H85" s="11" t="s">
        <v>160</v>
      </c>
      <c r="I85" s="11" t="s">
        <v>24</v>
      </c>
      <c r="J85" s="11" t="s">
        <v>25</v>
      </c>
      <c r="K85" s="11">
        <v>13</v>
      </c>
      <c r="L85" s="11" t="s">
        <v>196</v>
      </c>
      <c r="M85" s="11"/>
      <c r="N85" s="14" t="s">
        <v>26</v>
      </c>
    </row>
    <row r="86" spans="1:14" x14ac:dyDescent="0.2">
      <c r="A86" s="10"/>
      <c r="B86" s="11" t="s">
        <v>12</v>
      </c>
      <c r="C86" s="11" t="s">
        <v>29</v>
      </c>
      <c r="D86" s="11">
        <v>30</v>
      </c>
      <c r="E86" s="7" t="s">
        <v>199</v>
      </c>
      <c r="F86" s="13">
        <v>43309</v>
      </c>
      <c r="G86" s="13" t="s">
        <v>75</v>
      </c>
      <c r="H86" s="11" t="s">
        <v>160</v>
      </c>
      <c r="I86" s="11" t="s">
        <v>24</v>
      </c>
      <c r="J86" s="11" t="s">
        <v>25</v>
      </c>
      <c r="K86" s="11">
        <v>13</v>
      </c>
      <c r="L86" s="11" t="s">
        <v>196</v>
      </c>
      <c r="M86" s="11"/>
      <c r="N86" s="14" t="s">
        <v>30</v>
      </c>
    </row>
    <row r="87" spans="1:14" x14ac:dyDescent="0.2">
      <c r="A87" s="10"/>
      <c r="B87" s="11" t="s">
        <v>12</v>
      </c>
      <c r="C87" s="11" t="s">
        <v>49</v>
      </c>
      <c r="D87" s="11">
        <v>20</v>
      </c>
      <c r="E87" s="7" t="s">
        <v>199</v>
      </c>
      <c r="F87" s="13">
        <v>43309</v>
      </c>
      <c r="G87" s="13" t="s">
        <v>75</v>
      </c>
      <c r="H87" s="11" t="s">
        <v>160</v>
      </c>
      <c r="I87" s="11" t="s">
        <v>24</v>
      </c>
      <c r="J87" s="11" t="s">
        <v>25</v>
      </c>
      <c r="K87" s="11">
        <v>13</v>
      </c>
      <c r="L87" s="11" t="s">
        <v>196</v>
      </c>
      <c r="M87" s="11"/>
      <c r="N87" s="14" t="s">
        <v>50</v>
      </c>
    </row>
    <row r="88" spans="1:14" x14ac:dyDescent="0.2">
      <c r="A88" s="10"/>
      <c r="B88" s="11" t="s">
        <v>12</v>
      </c>
      <c r="C88" s="11" t="s">
        <v>19</v>
      </c>
      <c r="D88" s="11">
        <v>230</v>
      </c>
      <c r="E88" s="7" t="s">
        <v>199</v>
      </c>
      <c r="F88" s="13">
        <v>43309</v>
      </c>
      <c r="G88" s="13" t="s">
        <v>75</v>
      </c>
      <c r="H88" s="11" t="s">
        <v>160</v>
      </c>
      <c r="I88" s="11" t="s">
        <v>16</v>
      </c>
      <c r="J88" s="11" t="s">
        <v>17</v>
      </c>
      <c r="K88" s="11">
        <v>13</v>
      </c>
      <c r="L88" s="11" t="s">
        <v>196</v>
      </c>
      <c r="M88" s="11"/>
      <c r="N88" s="14" t="s">
        <v>20</v>
      </c>
    </row>
    <row r="89" spans="1:14" x14ac:dyDescent="0.2">
      <c r="A89" s="10"/>
      <c r="B89" s="11" t="s">
        <v>12</v>
      </c>
      <c r="C89" s="11" t="s">
        <v>21</v>
      </c>
      <c r="D89" s="11">
        <v>269</v>
      </c>
      <c r="E89" s="7" t="s">
        <v>199</v>
      </c>
      <c r="F89" s="13">
        <v>43309</v>
      </c>
      <c r="G89" s="13" t="s">
        <v>81</v>
      </c>
      <c r="H89" s="11" t="s">
        <v>161</v>
      </c>
      <c r="I89" s="11" t="s">
        <v>24</v>
      </c>
      <c r="J89" s="11" t="s">
        <v>25</v>
      </c>
      <c r="K89" s="11">
        <v>14</v>
      </c>
      <c r="L89" s="11" t="s">
        <v>196</v>
      </c>
      <c r="M89" s="11"/>
      <c r="N89" s="14" t="s">
        <v>26</v>
      </c>
    </row>
    <row r="90" spans="1:14" x14ac:dyDescent="0.2">
      <c r="A90" s="10"/>
      <c r="B90" s="11" t="s">
        <v>92</v>
      </c>
      <c r="C90" s="11" t="s">
        <v>93</v>
      </c>
      <c r="D90" s="11">
        <v>2</v>
      </c>
      <c r="E90" s="7" t="s">
        <v>199</v>
      </c>
      <c r="F90" s="13">
        <v>43309</v>
      </c>
      <c r="G90" s="13" t="s">
        <v>81</v>
      </c>
      <c r="H90" s="11" t="s">
        <v>161</v>
      </c>
      <c r="I90" s="11" t="s">
        <v>24</v>
      </c>
      <c r="J90" s="11" t="s">
        <v>25</v>
      </c>
      <c r="K90" s="11">
        <v>14</v>
      </c>
      <c r="L90" s="11" t="s">
        <v>196</v>
      </c>
      <c r="M90" s="11"/>
      <c r="N90" s="14" t="s">
        <v>95</v>
      </c>
    </row>
    <row r="91" spans="1:14" x14ac:dyDescent="0.2">
      <c r="A91" s="10"/>
      <c r="B91" s="11" t="s">
        <v>12</v>
      </c>
      <c r="C91" s="11" t="s">
        <v>44</v>
      </c>
      <c r="D91" s="11">
        <v>75</v>
      </c>
      <c r="E91" s="7" t="s">
        <v>199</v>
      </c>
      <c r="F91" s="13">
        <v>43309</v>
      </c>
      <c r="G91" s="13" t="s">
        <v>81</v>
      </c>
      <c r="H91" s="11" t="s">
        <v>161</v>
      </c>
      <c r="I91" s="11" t="s">
        <v>16</v>
      </c>
      <c r="J91" s="11" t="s">
        <v>17</v>
      </c>
      <c r="K91" s="11">
        <v>14</v>
      </c>
      <c r="L91" s="11" t="s">
        <v>196</v>
      </c>
      <c r="M91" s="11"/>
      <c r="N91" s="14" t="s">
        <v>45</v>
      </c>
    </row>
    <row r="92" spans="1:14" x14ac:dyDescent="0.2">
      <c r="A92" s="10"/>
      <c r="B92" s="11" t="s">
        <v>12</v>
      </c>
      <c r="C92" s="11" t="s">
        <v>13</v>
      </c>
      <c r="D92" s="11">
        <v>53</v>
      </c>
      <c r="E92" s="7" t="s">
        <v>199</v>
      </c>
      <c r="F92" s="13">
        <v>43309</v>
      </c>
      <c r="G92" s="13" t="s">
        <v>81</v>
      </c>
      <c r="H92" s="11" t="s">
        <v>161</v>
      </c>
      <c r="I92" s="11" t="s">
        <v>16</v>
      </c>
      <c r="J92" s="11" t="s">
        <v>17</v>
      </c>
      <c r="K92" s="11">
        <v>14</v>
      </c>
      <c r="L92" s="11" t="s">
        <v>196</v>
      </c>
      <c r="M92" s="11"/>
      <c r="N92" s="14" t="s">
        <v>18</v>
      </c>
    </row>
    <row r="93" spans="1:14" x14ac:dyDescent="0.2">
      <c r="A93" s="10"/>
      <c r="B93" s="11" t="s">
        <v>12</v>
      </c>
      <c r="C93" s="11" t="s">
        <v>19</v>
      </c>
      <c r="D93" s="11">
        <v>70</v>
      </c>
      <c r="E93" s="7" t="s">
        <v>199</v>
      </c>
      <c r="F93" s="13">
        <v>43309</v>
      </c>
      <c r="G93" s="13" t="s">
        <v>81</v>
      </c>
      <c r="H93" s="11" t="s">
        <v>161</v>
      </c>
      <c r="I93" s="11" t="s">
        <v>16</v>
      </c>
      <c r="J93" s="11" t="s">
        <v>17</v>
      </c>
      <c r="K93" s="11">
        <v>14</v>
      </c>
      <c r="L93" s="11" t="s">
        <v>196</v>
      </c>
      <c r="M93" s="11"/>
      <c r="N93" s="14" t="s">
        <v>20</v>
      </c>
    </row>
    <row r="94" spans="1:14" x14ac:dyDescent="0.2">
      <c r="A94" s="10"/>
      <c r="B94" s="11" t="s">
        <v>12</v>
      </c>
      <c r="C94" s="11" t="s">
        <v>21</v>
      </c>
      <c r="D94" s="11">
        <v>249</v>
      </c>
      <c r="E94" s="7" t="s">
        <v>199</v>
      </c>
      <c r="F94" s="13">
        <v>43309</v>
      </c>
      <c r="G94" s="13" t="s">
        <v>83</v>
      </c>
      <c r="H94" s="11" t="s">
        <v>84</v>
      </c>
      <c r="I94" s="11" t="s">
        <v>24</v>
      </c>
      <c r="J94" s="11" t="s">
        <v>25</v>
      </c>
      <c r="K94" s="11">
        <v>15</v>
      </c>
      <c r="L94" s="11" t="s">
        <v>196</v>
      </c>
      <c r="M94" s="11"/>
      <c r="N94" s="14" t="s">
        <v>26</v>
      </c>
    </row>
    <row r="95" spans="1:14" x14ac:dyDescent="0.2">
      <c r="A95" s="10"/>
      <c r="B95" s="11" t="s">
        <v>12</v>
      </c>
      <c r="C95" s="11" t="s">
        <v>29</v>
      </c>
      <c r="D95" s="11">
        <v>20</v>
      </c>
      <c r="E95" s="7" t="s">
        <v>199</v>
      </c>
      <c r="F95" s="13">
        <v>43309</v>
      </c>
      <c r="G95" s="13" t="s">
        <v>83</v>
      </c>
      <c r="H95" s="11" t="s">
        <v>84</v>
      </c>
      <c r="I95" s="11" t="s">
        <v>24</v>
      </c>
      <c r="J95" s="11" t="s">
        <v>25</v>
      </c>
      <c r="K95" s="11">
        <v>15</v>
      </c>
      <c r="L95" s="11" t="s">
        <v>196</v>
      </c>
      <c r="M95" s="11"/>
      <c r="N95" s="14" t="s">
        <v>30</v>
      </c>
    </row>
    <row r="96" spans="1:14" x14ac:dyDescent="0.2">
      <c r="A96" s="10"/>
      <c r="B96" s="11" t="s">
        <v>12</v>
      </c>
      <c r="C96" s="11" t="s">
        <v>13</v>
      </c>
      <c r="D96" s="11">
        <v>100</v>
      </c>
      <c r="E96" s="7" t="s">
        <v>199</v>
      </c>
      <c r="F96" s="13">
        <v>43309</v>
      </c>
      <c r="G96" s="13" t="s">
        <v>83</v>
      </c>
      <c r="H96" s="11" t="s">
        <v>84</v>
      </c>
      <c r="I96" s="11" t="s">
        <v>16</v>
      </c>
      <c r="J96" s="11" t="s">
        <v>17</v>
      </c>
      <c r="K96" s="11">
        <v>15</v>
      </c>
      <c r="L96" s="11" t="s">
        <v>196</v>
      </c>
      <c r="M96" s="11"/>
      <c r="N96" s="14" t="s">
        <v>18</v>
      </c>
    </row>
    <row r="97" spans="1:14" x14ac:dyDescent="0.2">
      <c r="A97" s="10"/>
      <c r="B97" s="11" t="s">
        <v>12</v>
      </c>
      <c r="C97" s="11" t="s">
        <v>19</v>
      </c>
      <c r="D97" s="11">
        <v>45</v>
      </c>
      <c r="E97" s="7" t="s">
        <v>199</v>
      </c>
      <c r="F97" s="13">
        <v>43309</v>
      </c>
      <c r="G97" s="13" t="s">
        <v>83</v>
      </c>
      <c r="H97" s="11" t="s">
        <v>84</v>
      </c>
      <c r="I97" s="11" t="s">
        <v>16</v>
      </c>
      <c r="J97" s="11" t="s">
        <v>17</v>
      </c>
      <c r="K97" s="11">
        <v>15</v>
      </c>
      <c r="L97" s="11" t="s">
        <v>196</v>
      </c>
      <c r="M97" s="11"/>
      <c r="N97" s="14" t="s">
        <v>20</v>
      </c>
    </row>
    <row r="98" spans="1:14" x14ac:dyDescent="0.2">
      <c r="A98" s="10"/>
      <c r="B98" s="11" t="s">
        <v>12</v>
      </c>
      <c r="C98" s="11" t="s">
        <v>21</v>
      </c>
      <c r="D98" s="11">
        <v>429</v>
      </c>
      <c r="E98" s="7" t="s">
        <v>199</v>
      </c>
      <c r="F98" s="13">
        <v>43309</v>
      </c>
      <c r="G98" s="13" t="s">
        <v>85</v>
      </c>
      <c r="H98" s="11" t="s">
        <v>162</v>
      </c>
      <c r="I98" s="11" t="s">
        <v>24</v>
      </c>
      <c r="J98" s="11" t="s">
        <v>25</v>
      </c>
      <c r="K98" s="11">
        <v>16</v>
      </c>
      <c r="L98" s="11" t="s">
        <v>196</v>
      </c>
      <c r="M98" s="11"/>
      <c r="N98" s="14" t="s">
        <v>26</v>
      </c>
    </row>
    <row r="99" spans="1:14" x14ac:dyDescent="0.2">
      <c r="A99" s="10"/>
      <c r="B99" s="11" t="s">
        <v>12</v>
      </c>
      <c r="C99" s="11" t="s">
        <v>27</v>
      </c>
      <c r="D99" s="11">
        <v>22</v>
      </c>
      <c r="E99" s="7" t="s">
        <v>199</v>
      </c>
      <c r="F99" s="13">
        <v>43309</v>
      </c>
      <c r="G99" s="13" t="s">
        <v>85</v>
      </c>
      <c r="H99" s="11" t="s">
        <v>162</v>
      </c>
      <c r="I99" s="11" t="s">
        <v>24</v>
      </c>
      <c r="J99" s="11" t="s">
        <v>25</v>
      </c>
      <c r="K99" s="11">
        <v>16</v>
      </c>
      <c r="L99" s="11" t="s">
        <v>196</v>
      </c>
      <c r="M99" s="11"/>
      <c r="N99" s="14" t="s">
        <v>28</v>
      </c>
    </row>
    <row r="100" spans="1:14" x14ac:dyDescent="0.2">
      <c r="A100" s="10"/>
      <c r="B100" s="11" t="s">
        <v>12</v>
      </c>
      <c r="C100" s="11" t="s">
        <v>21</v>
      </c>
      <c r="D100" s="11">
        <v>370</v>
      </c>
      <c r="E100" s="7" t="s">
        <v>199</v>
      </c>
      <c r="F100" s="13">
        <v>43309</v>
      </c>
      <c r="G100" s="13" t="s">
        <v>88</v>
      </c>
      <c r="H100" s="11" t="s">
        <v>179</v>
      </c>
      <c r="I100" s="11" t="s">
        <v>24</v>
      </c>
      <c r="J100" s="11" t="s">
        <v>25</v>
      </c>
      <c r="K100" s="11">
        <v>17</v>
      </c>
      <c r="L100" s="11" t="s">
        <v>56</v>
      </c>
      <c r="M100" s="11"/>
      <c r="N100" s="14" t="s">
        <v>26</v>
      </c>
    </row>
    <row r="101" spans="1:14" x14ac:dyDescent="0.2">
      <c r="A101" s="10"/>
      <c r="B101" s="11" t="s">
        <v>12</v>
      </c>
      <c r="C101" s="11" t="s">
        <v>44</v>
      </c>
      <c r="D101" s="11">
        <v>69</v>
      </c>
      <c r="E101" s="7" t="s">
        <v>199</v>
      </c>
      <c r="F101" s="13">
        <v>43309</v>
      </c>
      <c r="G101" s="13" t="s">
        <v>88</v>
      </c>
      <c r="H101" s="11" t="s">
        <v>179</v>
      </c>
      <c r="I101" s="11" t="s">
        <v>16</v>
      </c>
      <c r="J101" s="11" t="s">
        <v>17</v>
      </c>
      <c r="K101" s="11">
        <v>17</v>
      </c>
      <c r="L101" s="11" t="s">
        <v>56</v>
      </c>
      <c r="M101" s="11"/>
      <c r="N101" s="14" t="s">
        <v>45</v>
      </c>
    </row>
    <row r="102" spans="1:14" x14ac:dyDescent="0.2">
      <c r="A102" s="10"/>
      <c r="B102" s="11" t="s">
        <v>12</v>
      </c>
      <c r="C102" s="11" t="s">
        <v>19</v>
      </c>
      <c r="D102" s="11">
        <v>120</v>
      </c>
      <c r="E102" s="7" t="s">
        <v>199</v>
      </c>
      <c r="F102" s="13">
        <v>43309</v>
      </c>
      <c r="G102" s="13" t="s">
        <v>88</v>
      </c>
      <c r="H102" s="11" t="s">
        <v>179</v>
      </c>
      <c r="I102" s="11" t="s">
        <v>16</v>
      </c>
      <c r="J102" s="11" t="s">
        <v>17</v>
      </c>
      <c r="K102" s="11">
        <v>17</v>
      </c>
      <c r="L102" s="11" t="s">
        <v>56</v>
      </c>
      <c r="M102" s="11"/>
      <c r="N102" s="14" t="s">
        <v>20</v>
      </c>
    </row>
    <row r="103" spans="1:14" x14ac:dyDescent="0.2">
      <c r="A103" s="10"/>
      <c r="B103" s="11" t="s">
        <v>12</v>
      </c>
      <c r="C103" s="11" t="s">
        <v>80</v>
      </c>
      <c r="D103" s="11">
        <v>95</v>
      </c>
      <c r="E103" s="7" t="s">
        <v>199</v>
      </c>
      <c r="F103" s="13">
        <v>43309</v>
      </c>
      <c r="G103" s="13" t="s">
        <v>88</v>
      </c>
      <c r="H103" s="11" t="s">
        <v>179</v>
      </c>
      <c r="I103" s="11" t="s">
        <v>16</v>
      </c>
      <c r="J103" s="11" t="s">
        <v>17</v>
      </c>
      <c r="K103" s="11">
        <v>17</v>
      </c>
      <c r="L103" s="11" t="s">
        <v>56</v>
      </c>
      <c r="M103" s="11"/>
      <c r="N103" s="14" t="s">
        <v>82</v>
      </c>
    </row>
    <row r="104" spans="1:14" x14ac:dyDescent="0.2">
      <c r="A104" s="10"/>
      <c r="B104" s="11" t="s">
        <v>12</v>
      </c>
      <c r="C104" s="11" t="s">
        <v>21</v>
      </c>
      <c r="D104" s="11">
        <v>152</v>
      </c>
      <c r="E104" s="7" t="s">
        <v>199</v>
      </c>
      <c r="F104" s="13">
        <v>43309</v>
      </c>
      <c r="G104" s="13" t="s">
        <v>86</v>
      </c>
      <c r="H104" s="11" t="s">
        <v>163</v>
      </c>
      <c r="I104" s="11" t="s">
        <v>24</v>
      </c>
      <c r="J104" s="11" t="s">
        <v>25</v>
      </c>
      <c r="K104" s="11">
        <v>18</v>
      </c>
      <c r="L104" s="11" t="s">
        <v>56</v>
      </c>
      <c r="M104" s="11"/>
      <c r="N104" s="14" t="s">
        <v>26</v>
      </c>
    </row>
    <row r="105" spans="1:14" x14ac:dyDescent="0.2">
      <c r="A105" s="10"/>
      <c r="B105" s="11" t="s">
        <v>12</v>
      </c>
      <c r="C105" s="11" t="s">
        <v>27</v>
      </c>
      <c r="D105" s="11">
        <v>50</v>
      </c>
      <c r="E105" s="7" t="s">
        <v>199</v>
      </c>
      <c r="F105" s="13">
        <v>43309</v>
      </c>
      <c r="G105" s="13" t="s">
        <v>86</v>
      </c>
      <c r="H105" s="11" t="s">
        <v>163</v>
      </c>
      <c r="I105" s="11" t="s">
        <v>24</v>
      </c>
      <c r="J105" s="11" t="s">
        <v>25</v>
      </c>
      <c r="K105" s="11">
        <v>18</v>
      </c>
      <c r="L105" s="11" t="s">
        <v>56</v>
      </c>
      <c r="M105" s="11"/>
      <c r="N105" s="14" t="s">
        <v>28</v>
      </c>
    </row>
    <row r="106" spans="1:14" x14ac:dyDescent="0.2">
      <c r="A106" s="10"/>
      <c r="B106" s="11" t="s">
        <v>12</v>
      </c>
      <c r="C106" s="11" t="s">
        <v>19</v>
      </c>
      <c r="D106" s="11">
        <v>235</v>
      </c>
      <c r="E106" s="7" t="s">
        <v>199</v>
      </c>
      <c r="F106" s="13">
        <v>43309</v>
      </c>
      <c r="G106" s="13" t="s">
        <v>86</v>
      </c>
      <c r="H106" s="11" t="s">
        <v>163</v>
      </c>
      <c r="I106" s="11" t="s">
        <v>16</v>
      </c>
      <c r="J106" s="11" t="s">
        <v>17</v>
      </c>
      <c r="K106" s="11">
        <v>18</v>
      </c>
      <c r="L106" s="11" t="s">
        <v>56</v>
      </c>
      <c r="M106" s="11"/>
      <c r="N106" s="14" t="s">
        <v>20</v>
      </c>
    </row>
    <row r="107" spans="1:14" x14ac:dyDescent="0.2">
      <c r="A107" s="10"/>
      <c r="B107" s="11" t="s">
        <v>12</v>
      </c>
      <c r="C107" s="11" t="s">
        <v>80</v>
      </c>
      <c r="D107" s="11">
        <v>76</v>
      </c>
      <c r="E107" s="7" t="s">
        <v>199</v>
      </c>
      <c r="F107" s="13">
        <v>43309</v>
      </c>
      <c r="G107" s="13" t="s">
        <v>86</v>
      </c>
      <c r="H107" s="11" t="s">
        <v>163</v>
      </c>
      <c r="I107" s="11" t="s">
        <v>16</v>
      </c>
      <c r="J107" s="11" t="s">
        <v>17</v>
      </c>
      <c r="K107" s="11">
        <v>18</v>
      </c>
      <c r="L107" s="11" t="s">
        <v>56</v>
      </c>
      <c r="M107" s="11"/>
      <c r="N107" s="14" t="s">
        <v>82</v>
      </c>
    </row>
    <row r="108" spans="1:14" x14ac:dyDescent="0.2">
      <c r="A108" s="10"/>
      <c r="B108" s="11" t="s">
        <v>12</v>
      </c>
      <c r="C108" s="11" t="s">
        <v>21</v>
      </c>
      <c r="D108" s="11">
        <v>60</v>
      </c>
      <c r="E108" s="7" t="s">
        <v>199</v>
      </c>
      <c r="F108" s="13">
        <v>43309</v>
      </c>
      <c r="G108" s="13" t="s">
        <v>151</v>
      </c>
      <c r="H108" s="11" t="s">
        <v>164</v>
      </c>
      <c r="I108" s="11" t="s">
        <v>24</v>
      </c>
      <c r="J108" s="11" t="s">
        <v>25</v>
      </c>
      <c r="K108" s="11">
        <v>19</v>
      </c>
      <c r="L108" s="11" t="s">
        <v>198</v>
      </c>
      <c r="M108" s="11"/>
      <c r="N108" s="14" t="s">
        <v>26</v>
      </c>
    </row>
    <row r="109" spans="1:14" x14ac:dyDescent="0.2">
      <c r="A109" s="10"/>
      <c r="B109" s="11" t="s">
        <v>92</v>
      </c>
      <c r="C109" s="11" t="s">
        <v>96</v>
      </c>
      <c r="D109" s="11">
        <v>110</v>
      </c>
      <c r="E109" s="7" t="s">
        <v>199</v>
      </c>
      <c r="F109" s="13">
        <v>43309</v>
      </c>
      <c r="G109" s="13" t="s">
        <v>151</v>
      </c>
      <c r="H109" s="11" t="s">
        <v>164</v>
      </c>
      <c r="I109" s="11" t="s">
        <v>24</v>
      </c>
      <c r="J109" s="11" t="s">
        <v>25</v>
      </c>
      <c r="K109" s="11">
        <v>19</v>
      </c>
      <c r="L109" s="11" t="s">
        <v>198</v>
      </c>
      <c r="M109" s="11"/>
      <c r="N109" s="14" t="s">
        <v>97</v>
      </c>
    </row>
    <row r="110" spans="1:14" x14ac:dyDescent="0.2">
      <c r="A110" s="10"/>
      <c r="B110" s="11" t="s">
        <v>12</v>
      </c>
      <c r="C110" s="11" t="s">
        <v>49</v>
      </c>
      <c r="D110" s="11">
        <v>30</v>
      </c>
      <c r="E110" s="7" t="s">
        <v>199</v>
      </c>
      <c r="F110" s="13">
        <v>43309</v>
      </c>
      <c r="G110" s="13" t="s">
        <v>151</v>
      </c>
      <c r="H110" s="11" t="s">
        <v>164</v>
      </c>
      <c r="I110" s="11" t="s">
        <v>24</v>
      </c>
      <c r="J110" s="11" t="s">
        <v>25</v>
      </c>
      <c r="K110" s="11">
        <v>19</v>
      </c>
      <c r="L110" s="11" t="s">
        <v>198</v>
      </c>
      <c r="M110" s="11"/>
      <c r="N110" s="14" t="s">
        <v>50</v>
      </c>
    </row>
    <row r="111" spans="1:14" x14ac:dyDescent="0.2">
      <c r="A111" s="10"/>
      <c r="B111" s="11" t="s">
        <v>12</v>
      </c>
      <c r="C111" s="11" t="s">
        <v>155</v>
      </c>
      <c r="D111" s="11">
        <v>40</v>
      </c>
      <c r="E111" s="7" t="s">
        <v>199</v>
      </c>
      <c r="F111" s="13">
        <v>43309</v>
      </c>
      <c r="G111" s="13" t="s">
        <v>151</v>
      </c>
      <c r="H111" s="11" t="s">
        <v>164</v>
      </c>
      <c r="I111" s="11" t="s">
        <v>24</v>
      </c>
      <c r="J111" s="11" t="s">
        <v>25</v>
      </c>
      <c r="K111" s="11">
        <v>19</v>
      </c>
      <c r="L111" s="11" t="s">
        <v>198</v>
      </c>
      <c r="M111" s="11"/>
      <c r="N111" s="14" t="s">
        <v>156</v>
      </c>
    </row>
    <row r="112" spans="1:14" x14ac:dyDescent="0.2">
      <c r="A112" s="10"/>
      <c r="B112" s="11" t="s">
        <v>12</v>
      </c>
      <c r="C112" s="11" t="s">
        <v>21</v>
      </c>
      <c r="D112" s="11">
        <v>105</v>
      </c>
      <c r="E112" s="7" t="s">
        <v>199</v>
      </c>
      <c r="F112" s="13">
        <v>43309</v>
      </c>
      <c r="G112" s="13" t="s">
        <v>131</v>
      </c>
      <c r="H112" s="11" t="s">
        <v>165</v>
      </c>
      <c r="I112" s="11" t="s">
        <v>24</v>
      </c>
      <c r="J112" s="11" t="s">
        <v>25</v>
      </c>
      <c r="K112" s="11">
        <v>20</v>
      </c>
      <c r="L112" s="11" t="s">
        <v>196</v>
      </c>
      <c r="M112" s="11"/>
      <c r="N112" s="14" t="s">
        <v>26</v>
      </c>
    </row>
    <row r="113" spans="1:14" x14ac:dyDescent="0.2">
      <c r="A113" s="10"/>
      <c r="B113" s="11" t="s">
        <v>12</v>
      </c>
      <c r="C113" s="11" t="s">
        <v>27</v>
      </c>
      <c r="D113" s="11">
        <v>57</v>
      </c>
      <c r="E113" s="7" t="s">
        <v>199</v>
      </c>
      <c r="F113" s="13">
        <v>43309</v>
      </c>
      <c r="G113" s="13" t="s">
        <v>131</v>
      </c>
      <c r="H113" s="11" t="s">
        <v>165</v>
      </c>
      <c r="I113" s="11" t="s">
        <v>24</v>
      </c>
      <c r="J113" s="11" t="s">
        <v>25</v>
      </c>
      <c r="K113" s="11">
        <v>20</v>
      </c>
      <c r="L113" s="11" t="s">
        <v>196</v>
      </c>
      <c r="M113" s="11"/>
      <c r="N113" s="14" t="s">
        <v>28</v>
      </c>
    </row>
    <row r="114" spans="1:14" x14ac:dyDescent="0.2">
      <c r="A114" s="10"/>
      <c r="B114" s="11" t="s">
        <v>12</v>
      </c>
      <c r="C114" s="11" t="s">
        <v>29</v>
      </c>
      <c r="D114" s="11">
        <v>10</v>
      </c>
      <c r="E114" s="7" t="s">
        <v>199</v>
      </c>
      <c r="F114" s="13">
        <v>43309</v>
      </c>
      <c r="G114" s="13" t="s">
        <v>131</v>
      </c>
      <c r="H114" s="11" t="s">
        <v>165</v>
      </c>
      <c r="I114" s="11" t="s">
        <v>24</v>
      </c>
      <c r="J114" s="11" t="s">
        <v>25</v>
      </c>
      <c r="K114" s="11">
        <v>20</v>
      </c>
      <c r="L114" s="11" t="s">
        <v>196</v>
      </c>
      <c r="M114" s="11"/>
      <c r="N114" s="14" t="s">
        <v>30</v>
      </c>
    </row>
    <row r="115" spans="1:14" x14ac:dyDescent="0.2">
      <c r="A115" s="10"/>
      <c r="B115" s="11" t="s">
        <v>92</v>
      </c>
      <c r="C115" s="11" t="s">
        <v>96</v>
      </c>
      <c r="D115" s="11">
        <v>220</v>
      </c>
      <c r="E115" s="7" t="s">
        <v>199</v>
      </c>
      <c r="F115" s="13">
        <v>43309</v>
      </c>
      <c r="G115" s="13" t="s">
        <v>131</v>
      </c>
      <c r="H115" s="11" t="s">
        <v>165</v>
      </c>
      <c r="I115" s="11" t="s">
        <v>24</v>
      </c>
      <c r="J115" s="11" t="s">
        <v>25</v>
      </c>
      <c r="K115" s="11">
        <v>20</v>
      </c>
      <c r="L115" s="11" t="s">
        <v>196</v>
      </c>
      <c r="M115" s="11"/>
      <c r="N115" s="14" t="s">
        <v>97</v>
      </c>
    </row>
    <row r="116" spans="1:14" x14ac:dyDescent="0.2">
      <c r="A116" s="10"/>
      <c r="B116" s="11" t="s">
        <v>12</v>
      </c>
      <c r="C116" s="11" t="s">
        <v>155</v>
      </c>
      <c r="D116" s="11">
        <v>50</v>
      </c>
      <c r="E116" s="7" t="s">
        <v>199</v>
      </c>
      <c r="F116" s="13">
        <v>43309</v>
      </c>
      <c r="G116" s="13" t="s">
        <v>131</v>
      </c>
      <c r="H116" s="11" t="s">
        <v>165</v>
      </c>
      <c r="I116" s="11" t="s">
        <v>24</v>
      </c>
      <c r="J116" s="11" t="s">
        <v>25</v>
      </c>
      <c r="K116" s="11">
        <v>20</v>
      </c>
      <c r="L116" s="11" t="s">
        <v>196</v>
      </c>
      <c r="M116" s="11"/>
      <c r="N116" s="14" t="s">
        <v>156</v>
      </c>
    </row>
    <row r="117" spans="1:14" x14ac:dyDescent="0.2">
      <c r="A117" s="10"/>
      <c r="B117" s="11" t="s">
        <v>12</v>
      </c>
      <c r="C117" s="11" t="s">
        <v>21</v>
      </c>
      <c r="D117" s="11">
        <v>76</v>
      </c>
      <c r="E117" s="7" t="s">
        <v>199</v>
      </c>
      <c r="F117" s="13">
        <v>43309</v>
      </c>
      <c r="G117" s="13" t="s">
        <v>89</v>
      </c>
      <c r="H117" s="11" t="s">
        <v>90</v>
      </c>
      <c r="I117" s="11" t="s">
        <v>24</v>
      </c>
      <c r="J117" s="11" t="s">
        <v>25</v>
      </c>
      <c r="K117" s="11">
        <v>21</v>
      </c>
      <c r="L117" s="11" t="s">
        <v>196</v>
      </c>
      <c r="M117" s="11"/>
      <c r="N117" s="14" t="s">
        <v>26</v>
      </c>
    </row>
    <row r="118" spans="1:14" x14ac:dyDescent="0.2">
      <c r="A118" s="10"/>
      <c r="B118" s="11" t="s">
        <v>12</v>
      </c>
      <c r="C118" s="11" t="s">
        <v>27</v>
      </c>
      <c r="D118" s="11">
        <v>20</v>
      </c>
      <c r="E118" s="7" t="s">
        <v>199</v>
      </c>
      <c r="F118" s="13">
        <v>43309</v>
      </c>
      <c r="G118" s="13" t="s">
        <v>89</v>
      </c>
      <c r="H118" s="11" t="s">
        <v>90</v>
      </c>
      <c r="I118" s="11" t="s">
        <v>24</v>
      </c>
      <c r="J118" s="11" t="s">
        <v>25</v>
      </c>
      <c r="K118" s="11">
        <v>21</v>
      </c>
      <c r="L118" s="11" t="s">
        <v>196</v>
      </c>
      <c r="M118" s="11"/>
      <c r="N118" s="14" t="s">
        <v>28</v>
      </c>
    </row>
    <row r="119" spans="1:14" x14ac:dyDescent="0.2">
      <c r="A119" s="10"/>
      <c r="B119" s="11" t="s">
        <v>92</v>
      </c>
      <c r="C119" s="11" t="s">
        <v>96</v>
      </c>
      <c r="D119" s="11">
        <v>147</v>
      </c>
      <c r="E119" s="7" t="s">
        <v>199</v>
      </c>
      <c r="F119" s="13">
        <v>43309</v>
      </c>
      <c r="G119" s="13" t="s">
        <v>89</v>
      </c>
      <c r="H119" s="11" t="s">
        <v>90</v>
      </c>
      <c r="I119" s="11" t="s">
        <v>24</v>
      </c>
      <c r="J119" s="11" t="s">
        <v>25</v>
      </c>
      <c r="K119" s="11">
        <v>21</v>
      </c>
      <c r="L119" s="11" t="s">
        <v>196</v>
      </c>
      <c r="M119" s="11"/>
      <c r="N119" s="14" t="s">
        <v>97</v>
      </c>
    </row>
    <row r="120" spans="1:14" x14ac:dyDescent="0.2">
      <c r="A120" s="10"/>
      <c r="B120" s="11" t="s">
        <v>12</v>
      </c>
      <c r="C120" s="11" t="s">
        <v>13</v>
      </c>
      <c r="D120" s="11">
        <v>10</v>
      </c>
      <c r="E120" s="7" t="s">
        <v>199</v>
      </c>
      <c r="F120" s="13">
        <v>43309</v>
      </c>
      <c r="G120" s="13" t="s">
        <v>89</v>
      </c>
      <c r="H120" s="11" t="s">
        <v>90</v>
      </c>
      <c r="I120" s="11" t="s">
        <v>16</v>
      </c>
      <c r="J120" s="11" t="s">
        <v>17</v>
      </c>
      <c r="K120" s="11">
        <v>21</v>
      </c>
      <c r="L120" s="11" t="s">
        <v>196</v>
      </c>
      <c r="M120" s="11"/>
      <c r="N120" s="14" t="s">
        <v>18</v>
      </c>
    </row>
    <row r="121" spans="1:14" x14ac:dyDescent="0.2">
      <c r="A121" s="10"/>
      <c r="B121" s="11" t="s">
        <v>12</v>
      </c>
      <c r="C121" s="11" t="s">
        <v>38</v>
      </c>
      <c r="D121" s="11">
        <v>40</v>
      </c>
      <c r="E121" s="7" t="s">
        <v>199</v>
      </c>
      <c r="F121" s="13">
        <v>43309</v>
      </c>
      <c r="G121" s="13" t="s">
        <v>89</v>
      </c>
      <c r="H121" s="11" t="s">
        <v>90</v>
      </c>
      <c r="I121" s="11" t="s">
        <v>16</v>
      </c>
      <c r="J121" s="11" t="s">
        <v>17</v>
      </c>
      <c r="K121" s="11">
        <v>21</v>
      </c>
      <c r="L121" s="11" t="s">
        <v>196</v>
      </c>
      <c r="M121" s="11"/>
      <c r="N121" s="14" t="s">
        <v>39</v>
      </c>
    </row>
    <row r="122" spans="1:14" x14ac:dyDescent="0.2">
      <c r="A122" s="10"/>
      <c r="B122" s="11" t="s">
        <v>12</v>
      </c>
      <c r="C122" s="11" t="s">
        <v>19</v>
      </c>
      <c r="D122" s="11">
        <v>60</v>
      </c>
      <c r="E122" s="7" t="s">
        <v>199</v>
      </c>
      <c r="F122" s="13">
        <v>43309</v>
      </c>
      <c r="G122" s="13" t="s">
        <v>89</v>
      </c>
      <c r="H122" s="11" t="s">
        <v>90</v>
      </c>
      <c r="I122" s="11" t="s">
        <v>16</v>
      </c>
      <c r="J122" s="11" t="s">
        <v>17</v>
      </c>
      <c r="K122" s="11">
        <v>21</v>
      </c>
      <c r="L122" s="11" t="s">
        <v>196</v>
      </c>
      <c r="M122" s="11"/>
      <c r="N122" s="14" t="s">
        <v>20</v>
      </c>
    </row>
    <row r="123" spans="1:14" x14ac:dyDescent="0.2">
      <c r="A123" s="10"/>
      <c r="B123" s="11" t="s">
        <v>12</v>
      </c>
      <c r="C123" s="11" t="s">
        <v>65</v>
      </c>
      <c r="D123" s="11">
        <v>5</v>
      </c>
      <c r="E123" s="7" t="s">
        <v>199</v>
      </c>
      <c r="F123" s="13">
        <v>43309</v>
      </c>
      <c r="G123" s="13" t="s">
        <v>89</v>
      </c>
      <c r="H123" s="11" t="s">
        <v>90</v>
      </c>
      <c r="I123" s="11" t="s">
        <v>16</v>
      </c>
      <c r="J123" s="11" t="s">
        <v>17</v>
      </c>
      <c r="K123" s="11">
        <v>21</v>
      </c>
      <c r="L123" s="11" t="s">
        <v>196</v>
      </c>
      <c r="M123" s="11"/>
      <c r="N123" s="14" t="s">
        <v>66</v>
      </c>
    </row>
    <row r="124" spans="1:14" x14ac:dyDescent="0.2">
      <c r="A124" s="10"/>
      <c r="B124" s="11" t="s">
        <v>12</v>
      </c>
      <c r="C124" s="11" t="s">
        <v>40</v>
      </c>
      <c r="D124" s="11">
        <v>97</v>
      </c>
      <c r="E124" s="7" t="s">
        <v>199</v>
      </c>
      <c r="F124" s="13">
        <v>43309</v>
      </c>
      <c r="G124" s="13" t="s">
        <v>89</v>
      </c>
      <c r="H124" s="11" t="s">
        <v>90</v>
      </c>
      <c r="I124" s="11" t="s">
        <v>16</v>
      </c>
      <c r="J124" s="11" t="s">
        <v>17</v>
      </c>
      <c r="K124" s="11">
        <v>21</v>
      </c>
      <c r="L124" s="11" t="s">
        <v>196</v>
      </c>
      <c r="M124" s="11"/>
      <c r="N124" s="14" t="s">
        <v>41</v>
      </c>
    </row>
    <row r="125" spans="1:14" x14ac:dyDescent="0.2">
      <c r="A125" s="10"/>
      <c r="B125" s="11" t="s">
        <v>12</v>
      </c>
      <c r="C125" s="11" t="s">
        <v>13</v>
      </c>
      <c r="D125" s="11">
        <v>360</v>
      </c>
      <c r="E125" s="7" t="s">
        <v>199</v>
      </c>
      <c r="F125" s="13">
        <v>43309</v>
      </c>
      <c r="G125" s="13" t="s">
        <v>91</v>
      </c>
      <c r="H125" s="11" t="s">
        <v>166</v>
      </c>
      <c r="I125" s="11" t="s">
        <v>16</v>
      </c>
      <c r="J125" s="11" t="s">
        <v>17</v>
      </c>
      <c r="K125" s="11">
        <v>23</v>
      </c>
      <c r="L125" s="11" t="s">
        <v>56</v>
      </c>
      <c r="M125" s="11"/>
      <c r="N125" s="14" t="s">
        <v>18</v>
      </c>
    </row>
    <row r="126" spans="1:14" x14ac:dyDescent="0.2">
      <c r="A126" s="10"/>
      <c r="B126" s="11" t="s">
        <v>12</v>
      </c>
      <c r="C126" s="11" t="s">
        <v>19</v>
      </c>
      <c r="D126" s="11">
        <v>187</v>
      </c>
      <c r="E126" s="7" t="s">
        <v>199</v>
      </c>
      <c r="F126" s="13">
        <v>43309</v>
      </c>
      <c r="G126" s="13" t="s">
        <v>91</v>
      </c>
      <c r="H126" s="11" t="s">
        <v>166</v>
      </c>
      <c r="I126" s="11" t="s">
        <v>16</v>
      </c>
      <c r="J126" s="11" t="s">
        <v>17</v>
      </c>
      <c r="K126" s="11">
        <v>23</v>
      </c>
      <c r="L126" s="11" t="s">
        <v>56</v>
      </c>
      <c r="M126" s="11"/>
      <c r="N126" s="14" t="s">
        <v>20</v>
      </c>
    </row>
    <row r="127" spans="1:14" x14ac:dyDescent="0.2">
      <c r="A127" s="10"/>
      <c r="B127" s="11" t="s">
        <v>12</v>
      </c>
      <c r="C127" s="11" t="s">
        <v>13</v>
      </c>
      <c r="D127" s="11">
        <v>337</v>
      </c>
      <c r="E127" s="7" t="s">
        <v>199</v>
      </c>
      <c r="F127" s="13">
        <v>43309</v>
      </c>
      <c r="G127" s="13" t="s">
        <v>91</v>
      </c>
      <c r="H127" s="11" t="s">
        <v>166</v>
      </c>
      <c r="I127" s="11" t="s">
        <v>16</v>
      </c>
      <c r="J127" s="11" t="s">
        <v>17</v>
      </c>
      <c r="K127" s="11">
        <v>24</v>
      </c>
      <c r="L127" s="11" t="s">
        <v>196</v>
      </c>
      <c r="M127" s="11"/>
      <c r="N127" s="14" t="s">
        <v>18</v>
      </c>
    </row>
    <row r="128" spans="1:14" x14ac:dyDescent="0.2">
      <c r="A128" s="10"/>
      <c r="B128" s="11" t="s">
        <v>92</v>
      </c>
      <c r="C128" s="11" t="s">
        <v>96</v>
      </c>
      <c r="D128" s="11">
        <v>102</v>
      </c>
      <c r="E128" s="7" t="s">
        <v>199</v>
      </c>
      <c r="F128" s="13">
        <v>43309</v>
      </c>
      <c r="G128" s="13" t="s">
        <v>94</v>
      </c>
      <c r="H128" s="11" t="s">
        <v>167</v>
      </c>
      <c r="I128" s="11" t="s">
        <v>24</v>
      </c>
      <c r="J128" s="11" t="s">
        <v>25</v>
      </c>
      <c r="K128" s="11">
        <v>25</v>
      </c>
      <c r="L128" s="11" t="s">
        <v>196</v>
      </c>
      <c r="M128" s="11"/>
      <c r="N128" s="14" t="s">
        <v>97</v>
      </c>
    </row>
    <row r="129" spans="1:14" x14ac:dyDescent="0.2">
      <c r="A129" s="10"/>
      <c r="B129" s="11" t="s">
        <v>12</v>
      </c>
      <c r="C129" s="11" t="s">
        <v>49</v>
      </c>
      <c r="D129" s="11">
        <v>100</v>
      </c>
      <c r="E129" s="7" t="s">
        <v>199</v>
      </c>
      <c r="F129" s="13">
        <v>43309</v>
      </c>
      <c r="G129" s="13" t="s">
        <v>94</v>
      </c>
      <c r="H129" s="11" t="s">
        <v>167</v>
      </c>
      <c r="I129" s="11" t="s">
        <v>24</v>
      </c>
      <c r="J129" s="11" t="s">
        <v>25</v>
      </c>
      <c r="K129" s="11">
        <v>25</v>
      </c>
      <c r="L129" s="11" t="s">
        <v>196</v>
      </c>
      <c r="M129" s="11"/>
      <c r="N129" s="14" t="s">
        <v>50</v>
      </c>
    </row>
    <row r="130" spans="1:14" x14ac:dyDescent="0.2">
      <c r="A130" s="10"/>
      <c r="B130" s="11" t="s">
        <v>33</v>
      </c>
      <c r="C130" s="11" t="s">
        <v>34</v>
      </c>
      <c r="D130" s="11">
        <v>10</v>
      </c>
      <c r="E130" s="7" t="s">
        <v>199</v>
      </c>
      <c r="F130" s="13">
        <v>43309</v>
      </c>
      <c r="G130" s="13" t="s">
        <v>94</v>
      </c>
      <c r="H130" s="11" t="s">
        <v>167</v>
      </c>
      <c r="I130" s="11" t="s">
        <v>24</v>
      </c>
      <c r="J130" s="11" t="s">
        <v>25</v>
      </c>
      <c r="K130" s="11">
        <v>25</v>
      </c>
      <c r="L130" s="11" t="s">
        <v>196</v>
      </c>
      <c r="M130" s="11"/>
      <c r="N130" s="14" t="s">
        <v>35</v>
      </c>
    </row>
    <row r="131" spans="1:14" x14ac:dyDescent="0.2">
      <c r="A131" s="10"/>
      <c r="B131" s="11" t="s">
        <v>12</v>
      </c>
      <c r="C131" s="11" t="s">
        <v>19</v>
      </c>
      <c r="D131" s="11">
        <v>145</v>
      </c>
      <c r="E131" s="7" t="s">
        <v>199</v>
      </c>
      <c r="F131" s="13">
        <v>43309</v>
      </c>
      <c r="G131" s="13" t="s">
        <v>94</v>
      </c>
      <c r="H131" s="11" t="s">
        <v>167</v>
      </c>
      <c r="I131" s="11" t="s">
        <v>16</v>
      </c>
      <c r="J131" s="11" t="s">
        <v>17</v>
      </c>
      <c r="K131" s="11">
        <v>25</v>
      </c>
      <c r="L131" s="11" t="s">
        <v>196</v>
      </c>
      <c r="M131" s="11"/>
      <c r="N131" s="14" t="s">
        <v>20</v>
      </c>
    </row>
    <row r="132" spans="1:14" x14ac:dyDescent="0.2">
      <c r="A132" s="10"/>
      <c r="B132" s="11" t="s">
        <v>12</v>
      </c>
      <c r="C132" s="11" t="s">
        <v>40</v>
      </c>
      <c r="D132" s="11">
        <v>50</v>
      </c>
      <c r="E132" s="7" t="s">
        <v>199</v>
      </c>
      <c r="F132" s="13">
        <v>43309</v>
      </c>
      <c r="G132" s="13" t="s">
        <v>94</v>
      </c>
      <c r="H132" s="11" t="s">
        <v>167</v>
      </c>
      <c r="I132" s="11" t="s">
        <v>16</v>
      </c>
      <c r="J132" s="11" t="s">
        <v>17</v>
      </c>
      <c r="K132" s="11">
        <v>25</v>
      </c>
      <c r="L132" s="11" t="s">
        <v>196</v>
      </c>
      <c r="M132" s="11"/>
      <c r="N132" s="14" t="s">
        <v>41</v>
      </c>
    </row>
    <row r="133" spans="1:14" x14ac:dyDescent="0.2">
      <c r="A133" s="10"/>
      <c r="B133" s="11" t="s">
        <v>12</v>
      </c>
      <c r="C133" s="11" t="s">
        <v>44</v>
      </c>
      <c r="D133" s="11">
        <v>12</v>
      </c>
      <c r="E133" s="7" t="s">
        <v>199</v>
      </c>
      <c r="F133" s="13">
        <v>43309</v>
      </c>
      <c r="G133" s="13" t="s">
        <v>98</v>
      </c>
      <c r="H133" s="11" t="s">
        <v>158</v>
      </c>
      <c r="I133" s="11" t="s">
        <v>16</v>
      </c>
      <c r="J133" s="11" t="s">
        <v>17</v>
      </c>
      <c r="K133" s="11">
        <v>26</v>
      </c>
      <c r="L133" s="11" t="s">
        <v>56</v>
      </c>
      <c r="M133" s="11"/>
      <c r="N133" s="14" t="s">
        <v>45</v>
      </c>
    </row>
    <row r="134" spans="1:14" x14ac:dyDescent="0.2">
      <c r="A134" s="10"/>
      <c r="B134" s="11" t="s">
        <v>12</v>
      </c>
      <c r="C134" s="11" t="s">
        <v>13</v>
      </c>
      <c r="D134" s="11">
        <v>230</v>
      </c>
      <c r="E134" s="7" t="s">
        <v>199</v>
      </c>
      <c r="F134" s="13">
        <v>43309</v>
      </c>
      <c r="G134" s="13" t="s">
        <v>98</v>
      </c>
      <c r="H134" s="11" t="s">
        <v>158</v>
      </c>
      <c r="I134" s="11" t="s">
        <v>16</v>
      </c>
      <c r="J134" s="11" t="s">
        <v>17</v>
      </c>
      <c r="K134" s="11">
        <v>26</v>
      </c>
      <c r="L134" s="11" t="s">
        <v>56</v>
      </c>
      <c r="M134" s="11"/>
      <c r="N134" s="14" t="s">
        <v>18</v>
      </c>
    </row>
    <row r="135" spans="1:14" x14ac:dyDescent="0.2">
      <c r="A135" s="10"/>
      <c r="B135" s="11" t="s">
        <v>12</v>
      </c>
      <c r="C135" s="11" t="s">
        <v>19</v>
      </c>
      <c r="D135" s="11">
        <v>384</v>
      </c>
      <c r="E135" s="7" t="s">
        <v>199</v>
      </c>
      <c r="F135" s="13">
        <v>43309</v>
      </c>
      <c r="G135" s="13" t="s">
        <v>98</v>
      </c>
      <c r="H135" s="11" t="s">
        <v>158</v>
      </c>
      <c r="I135" s="11" t="s">
        <v>16</v>
      </c>
      <c r="J135" s="11" t="s">
        <v>17</v>
      </c>
      <c r="K135" s="11">
        <v>26</v>
      </c>
      <c r="L135" s="11" t="s">
        <v>56</v>
      </c>
      <c r="M135" s="11"/>
      <c r="N135" s="14" t="s">
        <v>20</v>
      </c>
    </row>
    <row r="136" spans="1:14" x14ac:dyDescent="0.2">
      <c r="A136" s="10"/>
      <c r="B136" s="11" t="s">
        <v>12</v>
      </c>
      <c r="C136" s="11" t="s">
        <v>19</v>
      </c>
      <c r="D136" s="11">
        <v>210</v>
      </c>
      <c r="E136" s="7" t="s">
        <v>199</v>
      </c>
      <c r="F136" s="13">
        <v>43309</v>
      </c>
      <c r="G136" s="13" t="s">
        <v>132</v>
      </c>
      <c r="H136" s="11" t="s">
        <v>180</v>
      </c>
      <c r="I136" s="11" t="s">
        <v>16</v>
      </c>
      <c r="J136" s="11" t="s">
        <v>17</v>
      </c>
      <c r="K136" s="11">
        <v>27</v>
      </c>
      <c r="L136" s="11" t="s">
        <v>196</v>
      </c>
      <c r="M136" s="11" t="s">
        <v>133</v>
      </c>
      <c r="N136" s="14" t="s">
        <v>20</v>
      </c>
    </row>
    <row r="137" spans="1:14" x14ac:dyDescent="0.2">
      <c r="A137" s="10"/>
      <c r="B137" s="11" t="s">
        <v>12</v>
      </c>
      <c r="C137" s="11" t="s">
        <v>19</v>
      </c>
      <c r="D137" s="11">
        <v>330</v>
      </c>
      <c r="E137" s="7" t="s">
        <v>199</v>
      </c>
      <c r="F137" s="13">
        <v>43309</v>
      </c>
      <c r="G137" s="13" t="s">
        <v>134</v>
      </c>
      <c r="H137" s="11" t="s">
        <v>181</v>
      </c>
      <c r="I137" s="11" t="s">
        <v>16</v>
      </c>
      <c r="J137" s="11" t="s">
        <v>17</v>
      </c>
      <c r="K137" s="11">
        <v>27</v>
      </c>
      <c r="L137" s="11" t="s">
        <v>196</v>
      </c>
      <c r="M137" s="11" t="s">
        <v>133</v>
      </c>
      <c r="N137" s="14" t="s">
        <v>20</v>
      </c>
    </row>
    <row r="138" spans="1:14" x14ac:dyDescent="0.2">
      <c r="A138" s="10"/>
      <c r="B138" s="11" t="s">
        <v>33</v>
      </c>
      <c r="C138" s="11" t="s">
        <v>34</v>
      </c>
      <c r="D138" s="11">
        <v>110</v>
      </c>
      <c r="E138" s="7" t="s">
        <v>199</v>
      </c>
      <c r="F138" s="13">
        <v>43309</v>
      </c>
      <c r="G138" s="13" t="s">
        <v>105</v>
      </c>
      <c r="H138" s="11" t="s">
        <v>182</v>
      </c>
      <c r="I138" s="11" t="s">
        <v>24</v>
      </c>
      <c r="J138" s="11" t="s">
        <v>25</v>
      </c>
      <c r="K138" s="11">
        <v>28</v>
      </c>
      <c r="L138" s="11" t="s">
        <v>56</v>
      </c>
      <c r="M138" s="11" t="s">
        <v>106</v>
      </c>
      <c r="N138" s="14" t="s">
        <v>35</v>
      </c>
    </row>
    <row r="139" spans="1:14" x14ac:dyDescent="0.2">
      <c r="A139" s="10"/>
      <c r="B139" s="11" t="s">
        <v>33</v>
      </c>
      <c r="C139" s="11" t="s">
        <v>36</v>
      </c>
      <c r="D139" s="11">
        <v>5</v>
      </c>
      <c r="E139" s="7" t="s">
        <v>199</v>
      </c>
      <c r="F139" s="13">
        <v>43309</v>
      </c>
      <c r="G139" s="13" t="s">
        <v>105</v>
      </c>
      <c r="H139" s="11" t="s">
        <v>182</v>
      </c>
      <c r="I139" s="11" t="s">
        <v>24</v>
      </c>
      <c r="J139" s="11" t="s">
        <v>25</v>
      </c>
      <c r="K139" s="11">
        <v>28</v>
      </c>
      <c r="L139" s="11" t="s">
        <v>56</v>
      </c>
      <c r="M139" s="11" t="s">
        <v>106</v>
      </c>
      <c r="N139" s="14" t="s">
        <v>37</v>
      </c>
    </row>
    <row r="140" spans="1:14" x14ac:dyDescent="0.2">
      <c r="A140" s="10"/>
      <c r="B140" s="11" t="s">
        <v>12</v>
      </c>
      <c r="C140" s="11" t="s">
        <v>44</v>
      </c>
      <c r="D140" s="11">
        <v>8</v>
      </c>
      <c r="E140" s="7" t="s">
        <v>199</v>
      </c>
      <c r="F140" s="13">
        <v>43309</v>
      </c>
      <c r="G140" s="13" t="s">
        <v>105</v>
      </c>
      <c r="H140" s="11" t="s">
        <v>182</v>
      </c>
      <c r="I140" s="11" t="s">
        <v>16</v>
      </c>
      <c r="J140" s="11" t="s">
        <v>17</v>
      </c>
      <c r="K140" s="11">
        <v>28</v>
      </c>
      <c r="L140" s="11" t="s">
        <v>56</v>
      </c>
      <c r="M140" s="11" t="s">
        <v>106</v>
      </c>
      <c r="N140" s="14" t="s">
        <v>45</v>
      </c>
    </row>
    <row r="141" spans="1:14" x14ac:dyDescent="0.2">
      <c r="A141" s="10"/>
      <c r="B141" s="11" t="s">
        <v>12</v>
      </c>
      <c r="C141" s="11" t="s">
        <v>13</v>
      </c>
      <c r="D141" s="11">
        <v>20</v>
      </c>
      <c r="E141" s="7" t="s">
        <v>199</v>
      </c>
      <c r="F141" s="13">
        <v>43309</v>
      </c>
      <c r="G141" s="13" t="s">
        <v>105</v>
      </c>
      <c r="H141" s="11" t="s">
        <v>182</v>
      </c>
      <c r="I141" s="11" t="s">
        <v>16</v>
      </c>
      <c r="J141" s="11" t="s">
        <v>17</v>
      </c>
      <c r="K141" s="11">
        <v>28</v>
      </c>
      <c r="L141" s="11" t="s">
        <v>56</v>
      </c>
      <c r="M141" s="11" t="s">
        <v>106</v>
      </c>
      <c r="N141" s="14" t="s">
        <v>18</v>
      </c>
    </row>
    <row r="142" spans="1:14" x14ac:dyDescent="0.2">
      <c r="A142" s="10"/>
      <c r="B142" s="11" t="s">
        <v>12</v>
      </c>
      <c r="C142" s="11" t="s">
        <v>19</v>
      </c>
      <c r="D142" s="11">
        <v>65</v>
      </c>
      <c r="E142" s="7" t="s">
        <v>199</v>
      </c>
      <c r="F142" s="13">
        <v>43309</v>
      </c>
      <c r="G142" s="13" t="s">
        <v>105</v>
      </c>
      <c r="H142" s="11" t="s">
        <v>182</v>
      </c>
      <c r="I142" s="11" t="s">
        <v>16</v>
      </c>
      <c r="J142" s="11" t="s">
        <v>17</v>
      </c>
      <c r="K142" s="11">
        <v>28</v>
      </c>
      <c r="L142" s="11" t="s">
        <v>56</v>
      </c>
      <c r="M142" s="11" t="s">
        <v>106</v>
      </c>
      <c r="N142" s="14" t="s">
        <v>20</v>
      </c>
    </row>
    <row r="143" spans="1:14" x14ac:dyDescent="0.2">
      <c r="A143" s="10"/>
      <c r="B143" s="11" t="s">
        <v>12</v>
      </c>
      <c r="C143" s="11" t="s">
        <v>57</v>
      </c>
      <c r="D143" s="11">
        <v>16</v>
      </c>
      <c r="E143" s="7" t="s">
        <v>199</v>
      </c>
      <c r="F143" s="13">
        <v>43309</v>
      </c>
      <c r="G143" s="13" t="s">
        <v>105</v>
      </c>
      <c r="H143" s="11" t="s">
        <v>182</v>
      </c>
      <c r="I143" s="11" t="s">
        <v>16</v>
      </c>
      <c r="J143" s="11" t="s">
        <v>17</v>
      </c>
      <c r="K143" s="11">
        <v>28</v>
      </c>
      <c r="L143" s="11" t="s">
        <v>56</v>
      </c>
      <c r="M143" s="11" t="s">
        <v>106</v>
      </c>
      <c r="N143" s="14" t="s">
        <v>58</v>
      </c>
    </row>
    <row r="144" spans="1:14" x14ac:dyDescent="0.2">
      <c r="A144" s="10"/>
      <c r="B144" s="11" t="s">
        <v>12</v>
      </c>
      <c r="C144" s="11" t="s">
        <v>80</v>
      </c>
      <c r="D144" s="11">
        <v>15</v>
      </c>
      <c r="E144" s="7" t="s">
        <v>199</v>
      </c>
      <c r="F144" s="13">
        <v>43309</v>
      </c>
      <c r="G144" s="13" t="s">
        <v>105</v>
      </c>
      <c r="H144" s="11" t="s">
        <v>182</v>
      </c>
      <c r="I144" s="11" t="s">
        <v>16</v>
      </c>
      <c r="J144" s="11" t="s">
        <v>17</v>
      </c>
      <c r="K144" s="11">
        <v>28</v>
      </c>
      <c r="L144" s="11" t="s">
        <v>56</v>
      </c>
      <c r="M144" s="11" t="s">
        <v>106</v>
      </c>
      <c r="N144" s="14" t="s">
        <v>82</v>
      </c>
    </row>
    <row r="145" spans="1:14" x14ac:dyDescent="0.2">
      <c r="A145" s="10"/>
      <c r="B145" s="11" t="s">
        <v>12</v>
      </c>
      <c r="C145" s="11" t="s">
        <v>13</v>
      </c>
      <c r="D145" s="11">
        <v>30</v>
      </c>
      <c r="E145" s="12" t="s">
        <v>199</v>
      </c>
      <c r="F145" s="13">
        <v>43309</v>
      </c>
      <c r="G145" s="13" t="s">
        <v>107</v>
      </c>
      <c r="H145" s="11" t="s">
        <v>183</v>
      </c>
      <c r="I145" s="11" t="s">
        <v>16</v>
      </c>
      <c r="J145" s="11" t="s">
        <v>17</v>
      </c>
      <c r="K145" s="11">
        <v>29</v>
      </c>
      <c r="L145" s="11" t="s">
        <v>196</v>
      </c>
      <c r="M145" s="11"/>
      <c r="N145" s="14" t="s">
        <v>18</v>
      </c>
    </row>
    <row r="146" spans="1:14" x14ac:dyDescent="0.2">
      <c r="A146" s="10"/>
      <c r="B146" s="11" t="s">
        <v>12</v>
      </c>
      <c r="C146" s="11" t="s">
        <v>19</v>
      </c>
      <c r="D146" s="11">
        <v>360</v>
      </c>
      <c r="E146" s="12" t="s">
        <v>199</v>
      </c>
      <c r="F146" s="13">
        <v>43309</v>
      </c>
      <c r="G146" s="13" t="s">
        <v>107</v>
      </c>
      <c r="H146" s="11" t="s">
        <v>183</v>
      </c>
      <c r="I146" s="11" t="s">
        <v>16</v>
      </c>
      <c r="J146" s="11" t="s">
        <v>17</v>
      </c>
      <c r="K146" s="11">
        <v>29</v>
      </c>
      <c r="L146" s="11" t="s">
        <v>196</v>
      </c>
      <c r="M146" s="11"/>
      <c r="N146" s="14" t="s">
        <v>20</v>
      </c>
    </row>
    <row r="147" spans="1:14" x14ac:dyDescent="0.2">
      <c r="A147" s="10"/>
      <c r="B147" s="11" t="s">
        <v>12</v>
      </c>
      <c r="C147" s="11" t="s">
        <v>57</v>
      </c>
      <c r="D147" s="11">
        <v>69</v>
      </c>
      <c r="E147" s="12" t="s">
        <v>199</v>
      </c>
      <c r="F147" s="13">
        <v>43309</v>
      </c>
      <c r="G147" s="13" t="s">
        <v>107</v>
      </c>
      <c r="H147" s="11" t="s">
        <v>183</v>
      </c>
      <c r="I147" s="11" t="s">
        <v>16</v>
      </c>
      <c r="J147" s="11" t="s">
        <v>17</v>
      </c>
      <c r="K147" s="11">
        <v>29</v>
      </c>
      <c r="L147" s="11" t="s">
        <v>196</v>
      </c>
      <c r="M147" s="11"/>
      <c r="N147" s="14" t="s">
        <v>58</v>
      </c>
    </row>
    <row r="148" spans="1:14" x14ac:dyDescent="0.2">
      <c r="A148" s="10"/>
      <c r="B148" s="11" t="s">
        <v>12</v>
      </c>
      <c r="C148" s="11" t="s">
        <v>80</v>
      </c>
      <c r="D148" s="11">
        <v>16</v>
      </c>
      <c r="E148" s="12" t="s">
        <v>199</v>
      </c>
      <c r="F148" s="13">
        <v>43309</v>
      </c>
      <c r="G148" s="13" t="s">
        <v>107</v>
      </c>
      <c r="H148" s="11" t="s">
        <v>183</v>
      </c>
      <c r="I148" s="11" t="s">
        <v>16</v>
      </c>
      <c r="J148" s="11" t="s">
        <v>17</v>
      </c>
      <c r="K148" s="11">
        <v>29</v>
      </c>
      <c r="L148" s="11" t="s">
        <v>196</v>
      </c>
      <c r="M148" s="11"/>
      <c r="N148" s="14" t="s">
        <v>82</v>
      </c>
    </row>
    <row r="149" spans="1:14" x14ac:dyDescent="0.2">
      <c r="A149" s="10"/>
      <c r="B149" s="11" t="s">
        <v>12</v>
      </c>
      <c r="C149" s="11" t="s">
        <v>13</v>
      </c>
      <c r="D149" s="11">
        <v>337</v>
      </c>
      <c r="E149" s="12" t="s">
        <v>199</v>
      </c>
      <c r="F149" s="13">
        <v>43309</v>
      </c>
      <c r="G149" s="13" t="s">
        <v>135</v>
      </c>
      <c r="H149" s="11" t="s">
        <v>168</v>
      </c>
      <c r="I149" s="11" t="s">
        <v>16</v>
      </c>
      <c r="J149" s="11" t="s">
        <v>17</v>
      </c>
      <c r="K149" s="11">
        <v>30</v>
      </c>
      <c r="L149" s="11" t="s">
        <v>196</v>
      </c>
      <c r="M149" s="11"/>
      <c r="N149" s="14" t="s">
        <v>18</v>
      </c>
    </row>
    <row r="150" spans="1:14" x14ac:dyDescent="0.2">
      <c r="A150" s="10"/>
      <c r="B150" s="11" t="s">
        <v>12</v>
      </c>
      <c r="C150" s="11" t="s">
        <v>78</v>
      </c>
      <c r="D150" s="11">
        <v>775</v>
      </c>
      <c r="E150" s="12" t="s">
        <v>199</v>
      </c>
      <c r="F150" s="13">
        <v>43309</v>
      </c>
      <c r="G150" s="13" t="s">
        <v>135</v>
      </c>
      <c r="H150" s="11" t="s">
        <v>168</v>
      </c>
      <c r="I150" s="11" t="s">
        <v>16</v>
      </c>
      <c r="J150" s="11" t="s">
        <v>17</v>
      </c>
      <c r="K150" s="11">
        <v>31</v>
      </c>
      <c r="L150" s="11" t="s">
        <v>56</v>
      </c>
      <c r="M150" s="11"/>
      <c r="N150" s="14" t="s">
        <v>79</v>
      </c>
    </row>
  </sheetData>
  <autoFilter ref="A3:N150"/>
  <sortState ref="B4:N145">
    <sortCondition ref="K4:K145"/>
    <sortCondition ref="H4:H145"/>
    <sortCondition ref="J4:J145"/>
  </sortState>
  <mergeCells count="1">
    <mergeCell ref="A1:M1"/>
  </mergeCells>
  <phoneticPr fontId="0" type="noConversion"/>
  <printOptions horizontalCentered="1"/>
  <pageMargins left="0" right="0" top="0.5" bottom="0.5" header="0" footer="0"/>
  <pageSetup paperSize="9" scale="58" orientation="portrait" cellComments="asDisplayed" r:id="rId1"/>
  <headerFooter alignWithMargins="0">
    <oddFooter>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O41"/>
  <sheetViews>
    <sheetView showGridLines="0" tabSelected="1" zoomScale="91" zoomScaleNormal="91" workbookViewId="0">
      <pane ySplit="3" topLeftCell="A4" activePane="bottomLeft" state="frozen"/>
      <selection activeCell="B7" sqref="B7"/>
      <selection pane="bottomLeft" activeCell="H14" sqref="H14"/>
    </sheetView>
  </sheetViews>
  <sheetFormatPr defaultColWidth="9.42578125" defaultRowHeight="12.75" x14ac:dyDescent="0.2"/>
  <cols>
    <col min="1" max="1" width="11.5703125" style="8" bestFit="1" customWidth="1"/>
    <col min="2" max="2" width="22.42578125" style="8" customWidth="1"/>
    <col min="3" max="3" width="15" style="8" customWidth="1"/>
    <col min="4" max="4" width="5.42578125" style="8" customWidth="1"/>
    <col min="5" max="5" width="5.5703125" style="7" bestFit="1" customWidth="1"/>
    <col min="6" max="6" width="12.42578125" style="16" bestFit="1" customWidth="1"/>
    <col min="7" max="7" width="6" style="16" customWidth="1"/>
    <col min="8" max="8" width="21.42578125" style="8" customWidth="1"/>
    <col min="9" max="9" width="6" style="8" customWidth="1"/>
    <col min="10" max="10" width="24" style="8" customWidth="1"/>
    <col min="11" max="11" width="3.5703125" style="8" bestFit="1" customWidth="1"/>
    <col min="12" max="12" width="14" style="8" bestFit="1" customWidth="1"/>
    <col min="13" max="13" width="24" style="8" customWidth="1"/>
    <col min="14" max="14" width="14" style="15" customWidth="1"/>
    <col min="15" max="15" width="9.42578125" style="7"/>
    <col min="16" max="16384" width="9.42578125" style="8"/>
  </cols>
  <sheetData>
    <row r="1" spans="1:15" s="2" customFormat="1" x14ac:dyDescent="0.2">
      <c r="A1" s="44" t="str">
        <f>"Pengiriman ( Minggu ) Tgl. "&amp;TEXT(MID(Sabtu!A1,FIND(".",Sabtu!A1,1)+2,17)+1,"dd mmmm yyyy")</f>
        <v>Pengiriman ( Minggu ) Tgl. 29 July 2018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6"/>
      <c r="O1" s="1"/>
    </row>
    <row r="2" spans="1:15" s="2" customFormat="1" ht="13.5" thickBot="1" x14ac:dyDescent="0.25">
      <c r="E2" s="1"/>
      <c r="F2" s="3"/>
      <c r="G2" s="3"/>
      <c r="N2" s="6"/>
      <c r="O2" s="1"/>
    </row>
    <row r="3" spans="1:15" s="2" customFormat="1" ht="13.5" thickBot="1" x14ac:dyDescent="0.25">
      <c r="A3" s="4" t="s">
        <v>9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19"/>
      <c r="H3" s="20" t="s">
        <v>5</v>
      </c>
      <c r="I3" s="19"/>
      <c r="J3" s="20" t="s">
        <v>6</v>
      </c>
      <c r="K3" s="5" t="s">
        <v>7</v>
      </c>
      <c r="L3" s="5" t="s">
        <v>10</v>
      </c>
      <c r="M3" s="5" t="s">
        <v>8</v>
      </c>
      <c r="N3" s="5" t="s">
        <v>11</v>
      </c>
      <c r="O3" s="1"/>
    </row>
    <row r="4" spans="1:15" x14ac:dyDescent="0.2">
      <c r="A4" s="10"/>
      <c r="B4" s="11" t="s">
        <v>12</v>
      </c>
      <c r="C4" s="11" t="s">
        <v>38</v>
      </c>
      <c r="D4" s="11">
        <v>152</v>
      </c>
      <c r="E4" s="7" t="s">
        <v>199</v>
      </c>
      <c r="F4" s="13">
        <v>43310</v>
      </c>
      <c r="G4" s="13" t="s">
        <v>60</v>
      </c>
      <c r="H4" s="11" t="s">
        <v>159</v>
      </c>
      <c r="I4" s="11" t="s">
        <v>16</v>
      </c>
      <c r="J4" s="11" t="s">
        <v>17</v>
      </c>
      <c r="K4" s="11">
        <v>1</v>
      </c>
      <c r="L4" s="11" t="s">
        <v>56</v>
      </c>
      <c r="M4" s="11"/>
      <c r="N4" s="14" t="s">
        <v>39</v>
      </c>
      <c r="O4" s="9"/>
    </row>
    <row r="5" spans="1:15" x14ac:dyDescent="0.2">
      <c r="A5" s="10"/>
      <c r="B5" s="11" t="s">
        <v>12</v>
      </c>
      <c r="C5" s="11" t="s">
        <v>19</v>
      </c>
      <c r="D5" s="11">
        <v>230</v>
      </c>
      <c r="E5" s="7" t="s">
        <v>199</v>
      </c>
      <c r="F5" s="13">
        <v>43310</v>
      </c>
      <c r="G5" s="13" t="s">
        <v>60</v>
      </c>
      <c r="H5" s="11" t="s">
        <v>159</v>
      </c>
      <c r="I5" s="11" t="s">
        <v>16</v>
      </c>
      <c r="J5" s="11" t="s">
        <v>17</v>
      </c>
      <c r="K5" s="11">
        <v>1</v>
      </c>
      <c r="L5" s="11" t="s">
        <v>56</v>
      </c>
      <c r="M5" s="11"/>
      <c r="N5" s="14" t="s">
        <v>20</v>
      </c>
    </row>
    <row r="6" spans="1:15" x14ac:dyDescent="0.2">
      <c r="A6" s="10"/>
      <c r="B6" s="11" t="s">
        <v>12</v>
      </c>
      <c r="C6" s="11" t="s">
        <v>40</v>
      </c>
      <c r="D6" s="11">
        <v>4</v>
      </c>
      <c r="E6" s="7" t="s">
        <v>199</v>
      </c>
      <c r="F6" s="13">
        <v>43310</v>
      </c>
      <c r="G6" s="13" t="s">
        <v>60</v>
      </c>
      <c r="H6" s="11" t="s">
        <v>159</v>
      </c>
      <c r="I6" s="11" t="s">
        <v>16</v>
      </c>
      <c r="J6" s="11" t="s">
        <v>17</v>
      </c>
      <c r="K6" s="11">
        <v>1</v>
      </c>
      <c r="L6" s="11" t="s">
        <v>56</v>
      </c>
      <c r="M6" s="11"/>
      <c r="N6" s="14" t="s">
        <v>41</v>
      </c>
    </row>
    <row r="7" spans="1:15" x14ac:dyDescent="0.2">
      <c r="A7" s="10"/>
      <c r="B7" s="11" t="s">
        <v>12</v>
      </c>
      <c r="C7" s="11" t="s">
        <v>42</v>
      </c>
      <c r="D7" s="11">
        <v>370</v>
      </c>
      <c r="E7" s="7" t="s">
        <v>199</v>
      </c>
      <c r="F7" s="13">
        <v>43310</v>
      </c>
      <c r="G7" s="13" t="s">
        <v>60</v>
      </c>
      <c r="H7" s="11" t="s">
        <v>159</v>
      </c>
      <c r="I7" s="11" t="s">
        <v>16</v>
      </c>
      <c r="J7" s="11" t="s">
        <v>17</v>
      </c>
      <c r="K7" s="11">
        <v>1</v>
      </c>
      <c r="L7" s="11" t="s">
        <v>56</v>
      </c>
      <c r="M7" s="11"/>
      <c r="N7" s="14" t="s">
        <v>43</v>
      </c>
    </row>
    <row r="8" spans="1:15" x14ac:dyDescent="0.2">
      <c r="A8" s="10"/>
      <c r="B8" s="11" t="s">
        <v>12</v>
      </c>
      <c r="C8" s="11" t="s">
        <v>19</v>
      </c>
      <c r="D8" s="11">
        <v>540</v>
      </c>
      <c r="E8" s="7" t="s">
        <v>199</v>
      </c>
      <c r="F8" s="13">
        <v>43310</v>
      </c>
      <c r="G8" s="13" t="s">
        <v>75</v>
      </c>
      <c r="H8" s="11" t="s">
        <v>160</v>
      </c>
      <c r="I8" s="11" t="s">
        <v>16</v>
      </c>
      <c r="J8" s="11" t="s">
        <v>17</v>
      </c>
      <c r="K8" s="11">
        <v>2</v>
      </c>
      <c r="L8" s="11" t="s">
        <v>196</v>
      </c>
      <c r="M8" s="11"/>
      <c r="N8" s="14" t="s">
        <v>20</v>
      </c>
    </row>
    <row r="9" spans="1:15" x14ac:dyDescent="0.2">
      <c r="A9" s="10"/>
      <c r="B9" s="11" t="s">
        <v>12</v>
      </c>
      <c r="C9" s="11" t="s">
        <v>19</v>
      </c>
      <c r="D9" s="11">
        <v>540</v>
      </c>
      <c r="E9" s="7" t="s">
        <v>199</v>
      </c>
      <c r="F9" s="13">
        <v>43310</v>
      </c>
      <c r="G9" s="13" t="s">
        <v>75</v>
      </c>
      <c r="H9" s="11" t="s">
        <v>160</v>
      </c>
      <c r="I9" s="11" t="s">
        <v>16</v>
      </c>
      <c r="J9" s="11" t="s">
        <v>17</v>
      </c>
      <c r="K9" s="11">
        <v>3</v>
      </c>
      <c r="L9" s="11" t="s">
        <v>196</v>
      </c>
      <c r="M9" s="11"/>
      <c r="N9" s="14" t="s">
        <v>20</v>
      </c>
    </row>
    <row r="10" spans="1:15" x14ac:dyDescent="0.2">
      <c r="A10" s="10"/>
      <c r="B10" s="11" t="s">
        <v>12</v>
      </c>
      <c r="C10" s="11" t="s">
        <v>19</v>
      </c>
      <c r="D10" s="11">
        <v>540</v>
      </c>
      <c r="E10" s="7" t="s">
        <v>199</v>
      </c>
      <c r="F10" s="13">
        <v>43310</v>
      </c>
      <c r="G10" s="13" t="s">
        <v>81</v>
      </c>
      <c r="H10" s="11" t="s">
        <v>161</v>
      </c>
      <c r="I10" s="11" t="s">
        <v>16</v>
      </c>
      <c r="J10" s="11" t="s">
        <v>17</v>
      </c>
      <c r="K10" s="11">
        <v>4</v>
      </c>
      <c r="L10" s="11" t="s">
        <v>196</v>
      </c>
      <c r="M10" s="11"/>
      <c r="N10" s="14" t="s">
        <v>20</v>
      </c>
    </row>
    <row r="11" spans="1:15" x14ac:dyDescent="0.2">
      <c r="A11" s="10"/>
      <c r="B11" s="11" t="s">
        <v>12</v>
      </c>
      <c r="C11" s="11" t="s">
        <v>19</v>
      </c>
      <c r="D11" s="11">
        <v>480</v>
      </c>
      <c r="E11" s="7" t="s">
        <v>199</v>
      </c>
      <c r="F11" s="13">
        <v>43310</v>
      </c>
      <c r="G11" s="13" t="s">
        <v>83</v>
      </c>
      <c r="H11" s="11" t="s">
        <v>84</v>
      </c>
      <c r="I11" s="11" t="s">
        <v>16</v>
      </c>
      <c r="J11" s="11" t="s">
        <v>17</v>
      </c>
      <c r="K11" s="11">
        <v>5</v>
      </c>
      <c r="L11" s="11" t="s">
        <v>196</v>
      </c>
      <c r="M11" s="11"/>
      <c r="N11" s="14" t="s">
        <v>20</v>
      </c>
    </row>
    <row r="12" spans="1:15" x14ac:dyDescent="0.2">
      <c r="A12" s="10"/>
      <c r="B12" s="11" t="s">
        <v>12</v>
      </c>
      <c r="C12" s="11" t="s">
        <v>80</v>
      </c>
      <c r="D12" s="11">
        <v>40</v>
      </c>
      <c r="E12" s="7" t="s">
        <v>199</v>
      </c>
      <c r="F12" s="13">
        <v>43310</v>
      </c>
      <c r="G12" s="13" t="s">
        <v>83</v>
      </c>
      <c r="H12" s="11" t="s">
        <v>84</v>
      </c>
      <c r="I12" s="11" t="s">
        <v>16</v>
      </c>
      <c r="J12" s="11" t="s">
        <v>17</v>
      </c>
      <c r="K12" s="11">
        <v>5</v>
      </c>
      <c r="L12" s="11" t="s">
        <v>196</v>
      </c>
      <c r="M12" s="11"/>
      <c r="N12" s="14" t="s">
        <v>82</v>
      </c>
    </row>
    <row r="13" spans="1:15" x14ac:dyDescent="0.2">
      <c r="A13" s="10"/>
      <c r="B13" s="11" t="s">
        <v>12</v>
      </c>
      <c r="C13" s="11" t="s">
        <v>44</v>
      </c>
      <c r="D13" s="11">
        <v>10</v>
      </c>
      <c r="E13" s="7" t="s">
        <v>199</v>
      </c>
      <c r="F13" s="13">
        <v>43310</v>
      </c>
      <c r="G13" s="13" t="s">
        <v>85</v>
      </c>
      <c r="H13" s="11" t="s">
        <v>162</v>
      </c>
      <c r="I13" s="11" t="s">
        <v>16</v>
      </c>
      <c r="J13" s="11" t="s">
        <v>17</v>
      </c>
      <c r="K13" s="11">
        <v>6</v>
      </c>
      <c r="L13" s="11" t="s">
        <v>196</v>
      </c>
      <c r="M13" s="11"/>
      <c r="N13" s="14" t="s">
        <v>45</v>
      </c>
    </row>
    <row r="14" spans="1:15" x14ac:dyDescent="0.2">
      <c r="A14" s="10"/>
      <c r="B14" s="11" t="s">
        <v>12</v>
      </c>
      <c r="C14" s="11" t="s">
        <v>13</v>
      </c>
      <c r="D14" s="11">
        <v>201</v>
      </c>
      <c r="E14" s="7" t="s">
        <v>199</v>
      </c>
      <c r="F14" s="13">
        <v>43310</v>
      </c>
      <c r="G14" s="13" t="s">
        <v>85</v>
      </c>
      <c r="H14" s="11" t="s">
        <v>162</v>
      </c>
      <c r="I14" s="11" t="s">
        <v>16</v>
      </c>
      <c r="J14" s="11" t="s">
        <v>17</v>
      </c>
      <c r="K14" s="11">
        <v>6</v>
      </c>
      <c r="L14" s="11" t="s">
        <v>196</v>
      </c>
      <c r="M14" s="11"/>
      <c r="N14" s="14" t="s">
        <v>18</v>
      </c>
    </row>
    <row r="15" spans="1:15" x14ac:dyDescent="0.2">
      <c r="A15" s="10"/>
      <c r="B15" s="11" t="s">
        <v>12</v>
      </c>
      <c r="C15" s="11" t="s">
        <v>19</v>
      </c>
      <c r="D15" s="11">
        <v>90</v>
      </c>
      <c r="E15" s="7" t="s">
        <v>199</v>
      </c>
      <c r="F15" s="13">
        <v>43310</v>
      </c>
      <c r="G15" s="13" t="s">
        <v>85</v>
      </c>
      <c r="H15" s="11" t="s">
        <v>162</v>
      </c>
      <c r="I15" s="11" t="s">
        <v>16</v>
      </c>
      <c r="J15" s="11" t="s">
        <v>17</v>
      </c>
      <c r="K15" s="11">
        <v>6</v>
      </c>
      <c r="L15" s="11" t="s">
        <v>196</v>
      </c>
      <c r="M15" s="11"/>
      <c r="N15" s="14" t="s">
        <v>20</v>
      </c>
    </row>
    <row r="16" spans="1:15" x14ac:dyDescent="0.2">
      <c r="A16" s="10"/>
      <c r="B16" s="11" t="s">
        <v>12</v>
      </c>
      <c r="C16" s="11" t="s">
        <v>80</v>
      </c>
      <c r="D16" s="11">
        <v>81</v>
      </c>
      <c r="E16" s="7" t="s">
        <v>199</v>
      </c>
      <c r="F16" s="13">
        <v>43310</v>
      </c>
      <c r="G16" s="13" t="s">
        <v>85</v>
      </c>
      <c r="H16" s="11" t="s">
        <v>162</v>
      </c>
      <c r="I16" s="11" t="s">
        <v>16</v>
      </c>
      <c r="J16" s="11" t="s">
        <v>17</v>
      </c>
      <c r="K16" s="11">
        <v>6</v>
      </c>
      <c r="L16" s="11" t="s">
        <v>196</v>
      </c>
      <c r="M16" s="11"/>
      <c r="N16" s="14" t="s">
        <v>82</v>
      </c>
    </row>
    <row r="17" spans="1:14" x14ac:dyDescent="0.2">
      <c r="A17" s="10"/>
      <c r="B17" s="11" t="s">
        <v>12</v>
      </c>
      <c r="C17" s="11" t="s">
        <v>19</v>
      </c>
      <c r="D17" s="11">
        <v>540</v>
      </c>
      <c r="E17" s="7" t="s">
        <v>199</v>
      </c>
      <c r="F17" s="13">
        <v>43310</v>
      </c>
      <c r="G17" s="13" t="s">
        <v>86</v>
      </c>
      <c r="H17" s="11" t="s">
        <v>163</v>
      </c>
      <c r="I17" s="11" t="s">
        <v>16</v>
      </c>
      <c r="J17" s="11" t="s">
        <v>17</v>
      </c>
      <c r="K17" s="11">
        <v>7</v>
      </c>
      <c r="L17" s="11" t="s">
        <v>196</v>
      </c>
      <c r="M17" s="11"/>
      <c r="N17" s="14" t="s">
        <v>20</v>
      </c>
    </row>
    <row r="18" spans="1:14" x14ac:dyDescent="0.2">
      <c r="A18" s="10"/>
      <c r="B18" s="11" t="s">
        <v>12</v>
      </c>
      <c r="C18" s="11" t="s">
        <v>44</v>
      </c>
      <c r="D18" s="11">
        <v>4</v>
      </c>
      <c r="E18" s="7" t="s">
        <v>199</v>
      </c>
      <c r="F18" s="13">
        <v>43310</v>
      </c>
      <c r="G18" s="13" t="s">
        <v>151</v>
      </c>
      <c r="H18" s="11" t="s">
        <v>164</v>
      </c>
      <c r="I18" s="11" t="s">
        <v>16</v>
      </c>
      <c r="J18" s="11" t="s">
        <v>17</v>
      </c>
      <c r="K18" s="11">
        <v>8</v>
      </c>
      <c r="L18" s="11" t="s">
        <v>196</v>
      </c>
      <c r="M18" s="11"/>
      <c r="N18" s="14" t="s">
        <v>45</v>
      </c>
    </row>
    <row r="19" spans="1:14" x14ac:dyDescent="0.2">
      <c r="A19" s="10"/>
      <c r="B19" s="11" t="s">
        <v>12</v>
      </c>
      <c r="C19" s="11" t="s">
        <v>38</v>
      </c>
      <c r="D19" s="11">
        <v>50</v>
      </c>
      <c r="E19" s="7" t="s">
        <v>199</v>
      </c>
      <c r="F19" s="13">
        <v>43310</v>
      </c>
      <c r="G19" s="13" t="s">
        <v>151</v>
      </c>
      <c r="H19" s="11" t="s">
        <v>164</v>
      </c>
      <c r="I19" s="11" t="s">
        <v>16</v>
      </c>
      <c r="J19" s="11" t="s">
        <v>17</v>
      </c>
      <c r="K19" s="11">
        <v>8</v>
      </c>
      <c r="L19" s="11" t="s">
        <v>196</v>
      </c>
      <c r="M19" s="11"/>
      <c r="N19" s="14" t="s">
        <v>39</v>
      </c>
    </row>
    <row r="20" spans="1:14" x14ac:dyDescent="0.2">
      <c r="A20" s="10"/>
      <c r="B20" s="11" t="s">
        <v>12</v>
      </c>
      <c r="C20" s="11" t="s">
        <v>19</v>
      </c>
      <c r="D20" s="11">
        <v>100</v>
      </c>
      <c r="E20" s="7" t="s">
        <v>199</v>
      </c>
      <c r="F20" s="13">
        <v>43310</v>
      </c>
      <c r="G20" s="13" t="s">
        <v>151</v>
      </c>
      <c r="H20" s="11" t="s">
        <v>164</v>
      </c>
      <c r="I20" s="11" t="s">
        <v>16</v>
      </c>
      <c r="J20" s="11" t="s">
        <v>17</v>
      </c>
      <c r="K20" s="11">
        <v>8</v>
      </c>
      <c r="L20" s="11" t="s">
        <v>196</v>
      </c>
      <c r="M20" s="11"/>
      <c r="N20" s="14" t="s">
        <v>20</v>
      </c>
    </row>
    <row r="21" spans="1:14" x14ac:dyDescent="0.2">
      <c r="A21" s="10"/>
      <c r="B21" s="11" t="s">
        <v>12</v>
      </c>
      <c r="C21" s="11" t="s">
        <v>65</v>
      </c>
      <c r="D21" s="11">
        <v>10</v>
      </c>
      <c r="E21" s="7" t="s">
        <v>199</v>
      </c>
      <c r="F21" s="13">
        <v>43310</v>
      </c>
      <c r="G21" s="13" t="s">
        <v>151</v>
      </c>
      <c r="H21" s="11" t="s">
        <v>164</v>
      </c>
      <c r="I21" s="11" t="s">
        <v>16</v>
      </c>
      <c r="J21" s="11" t="s">
        <v>17</v>
      </c>
      <c r="K21" s="11">
        <v>8</v>
      </c>
      <c r="L21" s="11" t="s">
        <v>196</v>
      </c>
      <c r="M21" s="11"/>
      <c r="N21" s="14" t="s">
        <v>66</v>
      </c>
    </row>
    <row r="22" spans="1:14" x14ac:dyDescent="0.2">
      <c r="A22" s="10"/>
      <c r="B22" s="11" t="s">
        <v>12</v>
      </c>
      <c r="C22" s="11" t="s">
        <v>80</v>
      </c>
      <c r="D22" s="11">
        <v>7</v>
      </c>
      <c r="E22" s="7" t="s">
        <v>199</v>
      </c>
      <c r="F22" s="13">
        <v>43310</v>
      </c>
      <c r="G22" s="13" t="s">
        <v>151</v>
      </c>
      <c r="H22" s="11" t="s">
        <v>164</v>
      </c>
      <c r="I22" s="11" t="s">
        <v>16</v>
      </c>
      <c r="J22" s="11" t="s">
        <v>17</v>
      </c>
      <c r="K22" s="11">
        <v>8</v>
      </c>
      <c r="L22" s="11" t="s">
        <v>196</v>
      </c>
      <c r="M22" s="11"/>
      <c r="N22" s="14" t="s">
        <v>82</v>
      </c>
    </row>
    <row r="23" spans="1:14" x14ac:dyDescent="0.2">
      <c r="A23" s="10"/>
      <c r="B23" s="11" t="s">
        <v>12</v>
      </c>
      <c r="C23" s="11" t="s">
        <v>42</v>
      </c>
      <c r="D23" s="11">
        <v>350</v>
      </c>
      <c r="E23" s="7" t="s">
        <v>199</v>
      </c>
      <c r="F23" s="13">
        <v>43310</v>
      </c>
      <c r="G23" s="13" t="s">
        <v>151</v>
      </c>
      <c r="H23" s="11" t="s">
        <v>164</v>
      </c>
      <c r="I23" s="11" t="s">
        <v>16</v>
      </c>
      <c r="J23" s="11" t="s">
        <v>17</v>
      </c>
      <c r="K23" s="11">
        <v>8</v>
      </c>
      <c r="L23" s="11" t="s">
        <v>196</v>
      </c>
      <c r="M23" s="11"/>
      <c r="N23" s="14" t="s">
        <v>43</v>
      </c>
    </row>
    <row r="24" spans="1:14" x14ac:dyDescent="0.2">
      <c r="A24" s="10"/>
      <c r="B24" s="11" t="s">
        <v>12</v>
      </c>
      <c r="C24" s="11" t="s">
        <v>38</v>
      </c>
      <c r="D24" s="11">
        <v>38</v>
      </c>
      <c r="E24" s="7" t="s">
        <v>199</v>
      </c>
      <c r="F24" s="13">
        <v>43310</v>
      </c>
      <c r="G24" s="13" t="s">
        <v>131</v>
      </c>
      <c r="H24" s="11" t="s">
        <v>165</v>
      </c>
      <c r="I24" s="11" t="s">
        <v>16</v>
      </c>
      <c r="J24" s="11" t="s">
        <v>17</v>
      </c>
      <c r="K24" s="11">
        <v>9</v>
      </c>
      <c r="L24" s="11" t="s">
        <v>56</v>
      </c>
      <c r="M24" s="11"/>
      <c r="N24" s="14" t="s">
        <v>39</v>
      </c>
    </row>
    <row r="25" spans="1:14" x14ac:dyDescent="0.2">
      <c r="A25" s="10"/>
      <c r="B25" s="11" t="s">
        <v>12</v>
      </c>
      <c r="C25" s="11" t="s">
        <v>19</v>
      </c>
      <c r="D25" s="11">
        <v>90</v>
      </c>
      <c r="E25" s="7" t="s">
        <v>199</v>
      </c>
      <c r="F25" s="13">
        <v>43310</v>
      </c>
      <c r="G25" s="13" t="s">
        <v>131</v>
      </c>
      <c r="H25" s="11" t="s">
        <v>165</v>
      </c>
      <c r="I25" s="11" t="s">
        <v>16</v>
      </c>
      <c r="J25" s="11" t="s">
        <v>17</v>
      </c>
      <c r="K25" s="11">
        <v>9</v>
      </c>
      <c r="L25" s="11" t="s">
        <v>56</v>
      </c>
      <c r="M25" s="11"/>
      <c r="N25" s="14" t="s">
        <v>20</v>
      </c>
    </row>
    <row r="26" spans="1:14" x14ac:dyDescent="0.2">
      <c r="A26" s="10"/>
      <c r="B26" s="11" t="s">
        <v>12</v>
      </c>
      <c r="C26" s="11" t="s">
        <v>65</v>
      </c>
      <c r="D26" s="11">
        <v>50</v>
      </c>
      <c r="E26" s="7" t="s">
        <v>199</v>
      </c>
      <c r="F26" s="13">
        <v>43310</v>
      </c>
      <c r="G26" s="13" t="s">
        <v>131</v>
      </c>
      <c r="H26" s="11" t="s">
        <v>165</v>
      </c>
      <c r="I26" s="11" t="s">
        <v>16</v>
      </c>
      <c r="J26" s="11" t="s">
        <v>17</v>
      </c>
      <c r="K26" s="11">
        <v>9</v>
      </c>
      <c r="L26" s="11" t="s">
        <v>56</v>
      </c>
      <c r="M26" s="11"/>
      <c r="N26" s="14" t="s">
        <v>66</v>
      </c>
    </row>
    <row r="27" spans="1:14" x14ac:dyDescent="0.2">
      <c r="A27" s="10"/>
      <c r="B27" s="11" t="s">
        <v>12</v>
      </c>
      <c r="C27" s="11" t="s">
        <v>40</v>
      </c>
      <c r="D27" s="11">
        <v>140</v>
      </c>
      <c r="E27" s="7" t="s">
        <v>199</v>
      </c>
      <c r="F27" s="13">
        <v>43310</v>
      </c>
      <c r="G27" s="13" t="s">
        <v>131</v>
      </c>
      <c r="H27" s="11" t="s">
        <v>165</v>
      </c>
      <c r="I27" s="11" t="s">
        <v>16</v>
      </c>
      <c r="J27" s="11" t="s">
        <v>17</v>
      </c>
      <c r="K27" s="11">
        <v>9</v>
      </c>
      <c r="L27" s="11" t="s">
        <v>56</v>
      </c>
      <c r="M27" s="11"/>
      <c r="N27" s="14" t="s">
        <v>41</v>
      </c>
    </row>
    <row r="28" spans="1:14" x14ac:dyDescent="0.2">
      <c r="A28" s="10"/>
      <c r="B28" s="11" t="s">
        <v>12</v>
      </c>
      <c r="C28" s="11" t="s">
        <v>80</v>
      </c>
      <c r="D28" s="11">
        <v>24</v>
      </c>
      <c r="E28" s="7" t="s">
        <v>199</v>
      </c>
      <c r="F28" s="13">
        <v>43310</v>
      </c>
      <c r="G28" s="13" t="s">
        <v>131</v>
      </c>
      <c r="H28" s="11" t="s">
        <v>165</v>
      </c>
      <c r="I28" s="11" t="s">
        <v>16</v>
      </c>
      <c r="J28" s="11" t="s">
        <v>17</v>
      </c>
      <c r="K28" s="11">
        <v>9</v>
      </c>
      <c r="L28" s="11" t="s">
        <v>56</v>
      </c>
      <c r="M28" s="11"/>
      <c r="N28" s="14" t="s">
        <v>82</v>
      </c>
    </row>
    <row r="29" spans="1:14" x14ac:dyDescent="0.2">
      <c r="A29" s="10"/>
      <c r="B29" s="11" t="s">
        <v>12</v>
      </c>
      <c r="C29" s="11" t="s">
        <v>42</v>
      </c>
      <c r="D29" s="11">
        <v>307</v>
      </c>
      <c r="E29" s="7" t="s">
        <v>199</v>
      </c>
      <c r="F29" s="13">
        <v>43310</v>
      </c>
      <c r="G29" s="13" t="s">
        <v>131</v>
      </c>
      <c r="H29" s="11" t="s">
        <v>165</v>
      </c>
      <c r="I29" s="11" t="s">
        <v>16</v>
      </c>
      <c r="J29" s="11" t="s">
        <v>17</v>
      </c>
      <c r="K29" s="11">
        <v>9</v>
      </c>
      <c r="L29" s="11" t="s">
        <v>56</v>
      </c>
      <c r="M29" s="11"/>
      <c r="N29" s="14" t="s">
        <v>43</v>
      </c>
    </row>
    <row r="30" spans="1:14" x14ac:dyDescent="0.2">
      <c r="A30" s="10"/>
      <c r="B30" s="11" t="s">
        <v>12</v>
      </c>
      <c r="C30" s="11" t="s">
        <v>19</v>
      </c>
      <c r="D30" s="11">
        <v>120</v>
      </c>
      <c r="E30" s="7" t="s">
        <v>199</v>
      </c>
      <c r="F30" s="13">
        <v>43310</v>
      </c>
      <c r="G30" s="13" t="s">
        <v>89</v>
      </c>
      <c r="H30" s="11" t="s">
        <v>90</v>
      </c>
      <c r="I30" s="11" t="s">
        <v>16</v>
      </c>
      <c r="J30" s="11" t="s">
        <v>17</v>
      </c>
      <c r="K30" s="11">
        <v>10</v>
      </c>
      <c r="L30" s="11" t="s">
        <v>196</v>
      </c>
      <c r="M30" s="11"/>
      <c r="N30" s="14" t="s">
        <v>20</v>
      </c>
    </row>
    <row r="31" spans="1:14" x14ac:dyDescent="0.2">
      <c r="A31" s="10"/>
      <c r="B31" s="11" t="s">
        <v>12</v>
      </c>
      <c r="C31" s="11" t="s">
        <v>80</v>
      </c>
      <c r="D31" s="11">
        <v>42</v>
      </c>
      <c r="E31" s="7" t="s">
        <v>199</v>
      </c>
      <c r="F31" s="13">
        <v>43310</v>
      </c>
      <c r="G31" s="13" t="s">
        <v>89</v>
      </c>
      <c r="H31" s="11" t="s">
        <v>90</v>
      </c>
      <c r="I31" s="11" t="s">
        <v>16</v>
      </c>
      <c r="J31" s="11" t="s">
        <v>17</v>
      </c>
      <c r="K31" s="11">
        <v>10</v>
      </c>
      <c r="L31" s="11" t="s">
        <v>196</v>
      </c>
      <c r="M31" s="11"/>
      <c r="N31" s="14" t="s">
        <v>82</v>
      </c>
    </row>
    <row r="32" spans="1:14" x14ac:dyDescent="0.2">
      <c r="A32" s="10"/>
      <c r="B32" s="11" t="s">
        <v>12</v>
      </c>
      <c r="C32" s="11" t="s">
        <v>42</v>
      </c>
      <c r="D32" s="11">
        <v>325</v>
      </c>
      <c r="E32" s="7" t="s">
        <v>199</v>
      </c>
      <c r="F32" s="13">
        <v>43310</v>
      </c>
      <c r="G32" s="13" t="s">
        <v>89</v>
      </c>
      <c r="H32" s="11" t="s">
        <v>90</v>
      </c>
      <c r="I32" s="11" t="s">
        <v>16</v>
      </c>
      <c r="J32" s="11" t="s">
        <v>17</v>
      </c>
      <c r="K32" s="11">
        <v>10</v>
      </c>
      <c r="L32" s="11" t="s">
        <v>196</v>
      </c>
      <c r="M32" s="11"/>
      <c r="N32" s="14" t="s">
        <v>43</v>
      </c>
    </row>
    <row r="33" spans="1:14" x14ac:dyDescent="0.2">
      <c r="A33" s="10"/>
      <c r="B33" s="11" t="s">
        <v>12</v>
      </c>
      <c r="C33" s="11" t="s">
        <v>13</v>
      </c>
      <c r="D33" s="11">
        <v>483</v>
      </c>
      <c r="E33" s="7" t="s">
        <v>199</v>
      </c>
      <c r="F33" s="13">
        <v>43310</v>
      </c>
      <c r="G33" s="13" t="s">
        <v>91</v>
      </c>
      <c r="H33" s="11" t="s">
        <v>166</v>
      </c>
      <c r="I33" s="11" t="s">
        <v>16</v>
      </c>
      <c r="J33" s="11" t="s">
        <v>17</v>
      </c>
      <c r="K33" s="11">
        <v>12</v>
      </c>
      <c r="L33" s="11" t="s">
        <v>56</v>
      </c>
      <c r="M33" s="11"/>
      <c r="N33" s="14" t="s">
        <v>18</v>
      </c>
    </row>
    <row r="34" spans="1:14" x14ac:dyDescent="0.2">
      <c r="A34" s="10"/>
      <c r="B34" s="11" t="s">
        <v>12</v>
      </c>
      <c r="C34" s="11" t="s">
        <v>13</v>
      </c>
      <c r="D34" s="11">
        <v>483</v>
      </c>
      <c r="E34" s="7" t="s">
        <v>199</v>
      </c>
      <c r="F34" s="13">
        <v>43310</v>
      </c>
      <c r="G34" s="13" t="s">
        <v>91</v>
      </c>
      <c r="H34" s="11" t="s">
        <v>166</v>
      </c>
      <c r="I34" s="11" t="s">
        <v>16</v>
      </c>
      <c r="J34" s="11" t="s">
        <v>17</v>
      </c>
      <c r="K34" s="11">
        <v>13</v>
      </c>
      <c r="L34" s="11" t="s">
        <v>56</v>
      </c>
      <c r="M34" s="11"/>
      <c r="N34" s="14" t="s">
        <v>18</v>
      </c>
    </row>
    <row r="35" spans="1:14" x14ac:dyDescent="0.2">
      <c r="A35" s="10"/>
      <c r="B35" s="11" t="s">
        <v>12</v>
      </c>
      <c r="C35" s="11" t="s">
        <v>19</v>
      </c>
      <c r="D35" s="11">
        <v>340</v>
      </c>
      <c r="E35" s="7" t="s">
        <v>199</v>
      </c>
      <c r="F35" s="13">
        <v>43310</v>
      </c>
      <c r="G35" s="13" t="s">
        <v>94</v>
      </c>
      <c r="H35" s="11" t="s">
        <v>167</v>
      </c>
      <c r="I35" s="11" t="s">
        <v>16</v>
      </c>
      <c r="J35" s="11" t="s">
        <v>17</v>
      </c>
      <c r="K35" s="11">
        <v>14</v>
      </c>
      <c r="L35" s="11" t="s">
        <v>196</v>
      </c>
      <c r="M35" s="11"/>
      <c r="N35" s="14" t="s">
        <v>20</v>
      </c>
    </row>
    <row r="36" spans="1:14" x14ac:dyDescent="0.2">
      <c r="A36" s="10"/>
      <c r="B36" s="11" t="s">
        <v>12</v>
      </c>
      <c r="C36" s="11" t="s">
        <v>40</v>
      </c>
      <c r="D36" s="11">
        <v>33</v>
      </c>
      <c r="E36" s="7" t="s">
        <v>199</v>
      </c>
      <c r="F36" s="13">
        <v>43310</v>
      </c>
      <c r="G36" s="13" t="s">
        <v>94</v>
      </c>
      <c r="H36" s="11" t="s">
        <v>167</v>
      </c>
      <c r="I36" s="11" t="s">
        <v>16</v>
      </c>
      <c r="J36" s="11" t="s">
        <v>17</v>
      </c>
      <c r="K36" s="11">
        <v>14</v>
      </c>
      <c r="L36" s="11" t="s">
        <v>196</v>
      </c>
      <c r="M36" s="11"/>
      <c r="N36" s="14" t="s">
        <v>41</v>
      </c>
    </row>
    <row r="37" spans="1:14" x14ac:dyDescent="0.2">
      <c r="A37" s="10"/>
      <c r="B37" s="11" t="s">
        <v>12</v>
      </c>
      <c r="C37" s="11" t="s">
        <v>42</v>
      </c>
      <c r="D37" s="11">
        <v>144</v>
      </c>
      <c r="E37" s="7" t="s">
        <v>199</v>
      </c>
      <c r="F37" s="13">
        <v>43310</v>
      </c>
      <c r="G37" s="13" t="s">
        <v>94</v>
      </c>
      <c r="H37" s="11" t="s">
        <v>167</v>
      </c>
      <c r="I37" s="11" t="s">
        <v>16</v>
      </c>
      <c r="J37" s="11" t="s">
        <v>17</v>
      </c>
      <c r="K37" s="11">
        <v>14</v>
      </c>
      <c r="L37" s="11" t="s">
        <v>196</v>
      </c>
      <c r="M37" s="11"/>
      <c r="N37" s="14" t="s">
        <v>43</v>
      </c>
    </row>
    <row r="38" spans="1:14" x14ac:dyDescent="0.2">
      <c r="A38" s="10"/>
      <c r="B38" s="11" t="s">
        <v>12</v>
      </c>
      <c r="C38" s="11" t="s">
        <v>13</v>
      </c>
      <c r="D38" s="11">
        <v>200</v>
      </c>
      <c r="E38" s="7" t="s">
        <v>199</v>
      </c>
      <c r="F38" s="13">
        <v>43310</v>
      </c>
      <c r="G38" s="13" t="s">
        <v>98</v>
      </c>
      <c r="H38" s="11" t="s">
        <v>158</v>
      </c>
      <c r="I38" s="11" t="s">
        <v>16</v>
      </c>
      <c r="J38" s="11" t="s">
        <v>17</v>
      </c>
      <c r="K38" s="11">
        <v>15</v>
      </c>
      <c r="L38" s="11" t="s">
        <v>56</v>
      </c>
      <c r="M38" s="11"/>
      <c r="N38" s="14" t="s">
        <v>18</v>
      </c>
    </row>
    <row r="39" spans="1:14" x14ac:dyDescent="0.2">
      <c r="A39" s="10"/>
      <c r="B39" s="11" t="s">
        <v>12</v>
      </c>
      <c r="C39" s="11" t="s">
        <v>19</v>
      </c>
      <c r="D39" s="11">
        <v>450</v>
      </c>
      <c r="E39" s="7" t="s">
        <v>199</v>
      </c>
      <c r="F39" s="13">
        <v>43310</v>
      </c>
      <c r="G39" s="13" t="s">
        <v>98</v>
      </c>
      <c r="H39" s="11" t="s">
        <v>158</v>
      </c>
      <c r="I39" s="11" t="s">
        <v>16</v>
      </c>
      <c r="J39" s="11" t="s">
        <v>17</v>
      </c>
      <c r="K39" s="11">
        <v>15</v>
      </c>
      <c r="L39" s="11" t="s">
        <v>56</v>
      </c>
      <c r="M39" s="11"/>
      <c r="N39" s="14" t="s">
        <v>20</v>
      </c>
    </row>
    <row r="40" spans="1:14" x14ac:dyDescent="0.2">
      <c r="A40" s="10"/>
      <c r="B40" s="11" t="s">
        <v>12</v>
      </c>
      <c r="C40" s="11" t="s">
        <v>13</v>
      </c>
      <c r="D40" s="11">
        <v>200</v>
      </c>
      <c r="E40" s="7" t="s">
        <v>199</v>
      </c>
      <c r="F40" s="13">
        <v>43310</v>
      </c>
      <c r="G40" s="13" t="s">
        <v>104</v>
      </c>
      <c r="H40" s="11" t="s">
        <v>157</v>
      </c>
      <c r="I40" s="11" t="s">
        <v>16</v>
      </c>
      <c r="J40" s="11" t="s">
        <v>17</v>
      </c>
      <c r="K40" s="11">
        <v>16</v>
      </c>
      <c r="L40" s="11" t="s">
        <v>56</v>
      </c>
      <c r="M40" s="11"/>
      <c r="N40" s="14" t="s">
        <v>18</v>
      </c>
    </row>
    <row r="41" spans="1:14" x14ac:dyDescent="0.2">
      <c r="A41" s="10"/>
      <c r="B41" s="11" t="s">
        <v>12</v>
      </c>
      <c r="C41" s="11" t="s">
        <v>19</v>
      </c>
      <c r="D41" s="11">
        <v>390</v>
      </c>
      <c r="E41" s="7" t="s">
        <v>199</v>
      </c>
      <c r="F41" s="13">
        <v>43310</v>
      </c>
      <c r="G41" s="13" t="s">
        <v>104</v>
      </c>
      <c r="H41" s="11" t="s">
        <v>157</v>
      </c>
      <c r="I41" s="11" t="s">
        <v>16</v>
      </c>
      <c r="J41" s="11" t="s">
        <v>17</v>
      </c>
      <c r="K41" s="11">
        <v>16</v>
      </c>
      <c r="L41" s="11" t="s">
        <v>56</v>
      </c>
      <c r="M41" s="11"/>
      <c r="N41" s="14" t="s">
        <v>20</v>
      </c>
    </row>
  </sheetData>
  <autoFilter ref="A3:N40">
    <filterColumn colId="6" showButton="0"/>
    <filterColumn colId="8" showButton="0"/>
  </autoFilter>
  <sortState ref="A4:N33">
    <sortCondition ref="K4:K33"/>
    <sortCondition ref="H4:H33"/>
    <sortCondition ref="J4:J33"/>
  </sortState>
  <mergeCells count="1">
    <mergeCell ref="A1:M1"/>
  </mergeCells>
  <phoneticPr fontId="0" type="noConversion"/>
  <printOptions horizontalCentered="1"/>
  <pageMargins left="0" right="0" top="0.5" bottom="0.5" header="0" footer="0"/>
  <pageSetup paperSize="9" scale="58" orientation="portrait" cellComments="asDisplayed" r:id="rId1"/>
  <headerFooter alignWithMargins="0"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Senin</vt:lpstr>
      <vt:lpstr>Selasa</vt:lpstr>
      <vt:lpstr>Rabu</vt:lpstr>
      <vt:lpstr>Kamis</vt:lpstr>
      <vt:lpstr>Jumat</vt:lpstr>
      <vt:lpstr>Sabtu</vt:lpstr>
      <vt:lpstr>Minggu</vt:lpstr>
      <vt:lpstr>Jumat!Print_Area</vt:lpstr>
      <vt:lpstr>Kamis!Print_Area</vt:lpstr>
      <vt:lpstr>Minggu!Print_Area</vt:lpstr>
      <vt:lpstr>Rabu!Print_Area</vt:lpstr>
      <vt:lpstr>Sabtu!Print_Area</vt:lpstr>
      <vt:lpstr>Selasa!Print_Area</vt:lpstr>
      <vt:lpstr>Senin!Print_Area</vt:lpstr>
      <vt:lpstr>Jumat!Print_Titles</vt:lpstr>
      <vt:lpstr>Kamis!Print_Titles</vt:lpstr>
      <vt:lpstr>Minggu!Print_Titles</vt:lpstr>
      <vt:lpstr>Rabu!Print_Titles</vt:lpstr>
      <vt:lpstr>Sabtu!Print_Titles</vt:lpstr>
      <vt:lpstr>Selasa!Print_Titles</vt:lpstr>
      <vt:lpstr>Senin!Print_Titles</vt:lpstr>
    </vt:vector>
  </TitlesOfParts>
  <Company>HLN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Mieke.Rahardjo</dc:creator>
  <cp:lastModifiedBy>VTI</cp:lastModifiedBy>
  <cp:lastPrinted>2011-11-24T09:03:26Z</cp:lastPrinted>
  <dcterms:created xsi:type="dcterms:W3CDTF">2006-11-23T03:51:37Z</dcterms:created>
  <dcterms:modified xsi:type="dcterms:W3CDTF">2018-09-26T09:31:16Z</dcterms:modified>
</cp:coreProperties>
</file>